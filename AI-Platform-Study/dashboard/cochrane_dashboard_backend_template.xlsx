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HP ENVY Laptop Back up\New Volume\Cochrane\Pilot Project\cochrane-dashboard_V3\"/>
    </mc:Choice>
  </mc:AlternateContent>
  <xr:revisionPtr revIDLastSave="0" documentId="13_ncr:20001_{1DE7F395-51BE-4D44-932F-580B67CBA8C4}" xr6:coauthVersionLast="47" xr6:coauthVersionMax="47" xr10:uidLastSave="{00000000-0000-0000-0000-000000000000}"/>
  <bookViews>
    <workbookView xWindow="-110" yWindow="-110" windowWidth="19420" windowHeight="11500" firstSheet="11" activeTab="14" xr2:uid="{00000000-000D-0000-FFFF-FFFF00000000}"/>
  </bookViews>
  <sheets>
    <sheet name="_Lists" sheetId="1" r:id="rId1"/>
    <sheet name="Update_Guide" sheetId="2" r:id="rId2"/>
    <sheet name="Review_Index" sheetId="3" r:id="rId3"/>
    <sheet name="Workflow_63_Actions" sheetId="4" r:id="rId4"/>
    <sheet name="Global_Dashboard" sheetId="5" r:id="rId5"/>
    <sheet name="pilot-01 Caffeine" sheetId="6" r:id="rId6"/>
    <sheet name="pilot-02 DMARDs RA" sheetId="7" r:id="rId7"/>
    <sheet name="phase1-01 BP Targets" sheetId="8" r:id="rId8"/>
    <sheet name="phase1-02 Psoriasis" sheetId="9" r:id="rId9"/>
    <sheet name="phase1-03 Fruit &amp; Veg" sheetId="10" r:id="rId10"/>
    <sheet name="phase1-04 Chlamydia" sheetId="11" r:id="rId11"/>
    <sheet name="phase1-05 Review 5 TBD" sheetId="12" r:id="rId12"/>
    <sheet name="phase2-01 Phase 2 Batch" sheetId="13" r:id="rId13"/>
    <sheet name="Workflow_Master" sheetId="14" r:id="rId14"/>
    <sheet name="New_Reviews" sheetId="15" r:id="rId1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15" l="1"/>
  <c r="B7" i="15"/>
  <c r="B6" i="15"/>
  <c r="B5" i="15"/>
</calcChain>
</file>

<file path=xl/sharedStrings.xml><?xml version="1.0" encoding="utf-8"?>
<sst xmlns="http://schemas.openxmlformats.org/spreadsheetml/2006/main" count="7987" uniqueCount="776">
  <si>
    <t>Dropdown Lists - do not edit unless updating allowed values</t>
  </si>
  <si>
    <t>CandidateCategory</t>
  </si>
  <si>
    <t>Shortlisted</t>
  </si>
  <si>
    <t>Status</t>
  </si>
  <si>
    <t>Risk</t>
  </si>
  <si>
    <t>Phase</t>
  </si>
  <si>
    <t>Tool</t>
  </si>
  <si>
    <t>YesNo</t>
  </si>
  <si>
    <t>ActionType</t>
  </si>
  <si>
    <t>SourceType</t>
  </si>
  <si>
    <t>FileType</t>
  </si>
  <si>
    <t>ResourceType</t>
  </si>
  <si>
    <t>Stage</t>
  </si>
  <si>
    <t>Severity</t>
  </si>
  <si>
    <t>Milestone_Status</t>
  </si>
  <si>
    <t>Under Shortlisting</t>
  </si>
  <si>
    <t>Not Started</t>
  </si>
  <si>
    <t>Low</t>
  </si>
  <si>
    <t>Pilot</t>
  </si>
  <si>
    <t>Laser AI</t>
  </si>
  <si>
    <t>Yes</t>
  </si>
  <si>
    <t>Decision</t>
  </si>
  <si>
    <t>Email</t>
  </si>
  <si>
    <t>RIS</t>
  </si>
  <si>
    <t>Folder</t>
  </si>
  <si>
    <t>Review selection and onboarding</t>
  </si>
  <si>
    <t>Complete</t>
  </si>
  <si>
    <t>Future Phase</t>
  </si>
  <si>
    <t>Pending</t>
  </si>
  <si>
    <t>Medium</t>
  </si>
  <si>
    <t>Phase 1</t>
  </si>
  <si>
    <t>Nested Knowledge</t>
  </si>
  <si>
    <t>No</t>
  </si>
  <si>
    <t>ToDo</t>
  </si>
  <si>
    <t>Meeting</t>
  </si>
  <si>
    <t>PDFs</t>
  </si>
  <si>
    <t>Protocol</t>
  </si>
  <si>
    <t>Setup package and data item readiness</t>
  </si>
  <si>
    <t>Active</t>
  </si>
  <si>
    <t>Not Eligible</t>
  </si>
  <si>
    <t>Under Review</t>
  </si>
  <si>
    <t>High</t>
  </si>
  <si>
    <t>Phase 2</t>
  </si>
  <si>
    <t>Tool A</t>
  </si>
  <si>
    <t>MoMAction</t>
  </si>
  <si>
    <t>MoM</t>
  </si>
  <si>
    <t>Criteria</t>
  </si>
  <si>
    <t>Presentation</t>
  </si>
  <si>
    <t>Abstract screening</t>
  </si>
  <si>
    <t>On Hold</t>
  </si>
  <si>
    <t>In Progress</t>
  </si>
  <si>
    <t>TBD</t>
  </si>
  <si>
    <t>Governance</t>
  </si>
  <si>
    <t>Tool B</t>
  </si>
  <si>
    <t>FollowUp</t>
  </si>
  <si>
    <t>Call</t>
  </si>
  <si>
    <t>Extraction</t>
  </si>
  <si>
    <t>Survey</t>
  </si>
  <si>
    <t>Full-text readiness and screening</t>
  </si>
  <si>
    <t>Clarification Needed</t>
  </si>
  <si>
    <t>Waiting on Others</t>
  </si>
  <si>
    <t>Allocated tool pending</t>
  </si>
  <si>
    <t>Escalation</t>
  </si>
  <si>
    <t>Document</t>
  </si>
  <si>
    <t>Template</t>
  </si>
  <si>
    <t>Data extraction</t>
  </si>
  <si>
    <t>Blank</t>
  </si>
  <si>
    <t>Needs Action</t>
  </si>
  <si>
    <t>AI tool pending</t>
  </si>
  <si>
    <t>CrossPhase</t>
  </si>
  <si>
    <t>Dashboard</t>
  </si>
  <si>
    <t>Time Log</t>
  </si>
  <si>
    <t>Excel</t>
  </si>
  <si>
    <t>Analysis and downstream work</t>
  </si>
  <si>
    <t>Blocked</t>
  </si>
  <si>
    <t>Other</t>
  </si>
  <si>
    <t>Spreadsheet</t>
  </si>
  <si>
    <t>PDF</t>
  </si>
  <si>
    <t>Complete / Under Review</t>
  </si>
  <si>
    <t>MeetingNotes</t>
  </si>
  <si>
    <t>Ready</t>
  </si>
  <si>
    <t>Link</t>
  </si>
  <si>
    <t>Missing</t>
  </si>
  <si>
    <t>Scheduled</t>
  </si>
  <si>
    <t>Sent</t>
  </si>
  <si>
    <t>Open</t>
  </si>
  <si>
    <t>Closed</t>
  </si>
  <si>
    <t>Not Applicable</t>
  </si>
  <si>
    <t>Not Yet Required</t>
  </si>
  <si>
    <t>Wrapping Up</t>
  </si>
  <si>
    <t>Starts 20 May</t>
  </si>
  <si>
    <t>To Be Updated</t>
  </si>
  <si>
    <t>On Track</t>
  </si>
  <si>
    <t>Cochrane AI Platform Study Dashboard Backend</t>
  </si>
  <si>
    <t>Purpose</t>
  </si>
  <si>
    <t>This workbook is structured for dashboard content only. Do not store full project archives or long background notes here.</t>
  </si>
  <si>
    <t>Main rule</t>
  </si>
  <si>
    <t>Each review has one sheet. Within each review sheet, sections are stacked vertically. Nothing is placed side-by-side, so rows can be added/deleted with lower risk.</t>
  </si>
  <si>
    <t>Dashboard screens</t>
  </si>
  <si>
    <t>Executive Review Card; Review Detail; Operations / Visual Tracker; Files; Communication Log; Critical Items; Resources; Upcoming Meetings.</t>
  </si>
  <si>
    <t>63 actions</t>
  </si>
  <si>
    <t>The full 63-step workflow is included in Workflow_63_Actions and repeated in each review sheet under the Review Workflow Status section.</t>
  </si>
  <si>
    <t>How to update</t>
  </si>
  <si>
    <t>Update only cells in the Value, Status, Owner, DueDate, Notes, and Display columns. Add rows inside the relevant section table when needed.</t>
  </si>
  <si>
    <t>Avoid</t>
  </si>
  <si>
    <t>Do not add sections to the right of existing content. Add new sections below the current sections.</t>
  </si>
  <si>
    <t>Exporter note</t>
  </si>
  <si>
    <t>The dashboard exporter should read by section/table names rather than fixed cell coordinates.</t>
  </si>
  <si>
    <t>Latest change</t>
  </si>
  <si>
    <t>v4 adds full old Workflow_Master columns, including DependsOn and Blocks.</t>
  </si>
  <si>
    <t>Dropdowns</t>
  </si>
  <si>
    <t>Dropdown validations added for Status, Risk, Phase, Tool, Yes/No, SourceType, FileType, ResourceType, Stage, Severity, and Milestone_Status.</t>
  </si>
  <si>
    <t>Review sheets</t>
  </si>
  <si>
    <t>Sections remain stacked vertically. You can add/delete rows within sections, but keep the section headers and column names stable.</t>
  </si>
  <si>
    <t>Workflow_Master</t>
  </si>
  <si>
    <t>Kept as a separate sheet matching the old Excel backend. Workflow_63_Actions mirrors the same content for readability.</t>
  </si>
  <si>
    <t>Do not store</t>
  </si>
  <si>
    <t>Avoid adding internal archive notes that will not display in the dashboard.</t>
  </si>
  <si>
    <t>New_Reviews sheet</t>
  </si>
  <si>
    <t>Use for continuous onboarding pipeline before a review becomes a full dashboard review sheet. Keep entries brief: review name, category/status, target phase, owner/contact, and remarks.</t>
  </si>
  <si>
    <t>ReviewID</t>
  </si>
  <si>
    <t>ShortName</t>
  </si>
  <si>
    <t>ReviewTitle</t>
  </si>
  <si>
    <t>Lead</t>
  </si>
  <si>
    <t>CurrentStage</t>
  </si>
  <si>
    <t>NextAction</t>
  </si>
  <si>
    <t>TargetDate</t>
  </si>
  <si>
    <t>Assessment</t>
  </si>
  <si>
    <t>DisplayInHTML</t>
  </si>
  <si>
    <t>ReviewSheet</t>
  </si>
  <si>
    <t>pilot-01</t>
  </si>
  <si>
    <t>Caffeine</t>
  </si>
  <si>
    <t>Cessation of caffeine</t>
  </si>
  <si>
    <t>Matteo Bruschettini</t>
  </si>
  <si>
    <t>Pilot closeout / lessons learned</t>
  </si>
  <si>
    <t>Verify Matteo time-on-task values, confirm usability survey receipt, and finalize pilot lessons learned.</t>
  </si>
  <si>
    <t>2026-05-10</t>
  </si>
  <si>
    <t>pilot-01 Caffeine</t>
  </si>
  <si>
    <t>pilot-02</t>
  </si>
  <si>
    <t>DMARDs / RA</t>
  </si>
  <si>
    <t>DMARDs / Rheumatoid arthritis</t>
  </si>
  <si>
    <t>Jordi Pardo Pardo / Glen Hazlewood</t>
  </si>
  <si>
    <t>Pilot completion check</t>
  </si>
  <si>
    <t>Confirm latest Laser AI completion status and whether outputs are ready for Sean/adjudication package.</t>
  </si>
  <si>
    <t>2026-05-13</t>
  </si>
  <si>
    <t>pilot-02 DMARDs RA</t>
  </si>
  <si>
    <t>phase1-01</t>
  </si>
  <si>
    <t>BP Targets</t>
  </si>
  <si>
    <t>Blood pressure targets for hypertension in people with diabetes mellitus</t>
  </si>
  <si>
    <t>Doreen Larvie</t>
  </si>
  <si>
    <t>Setup package and abstract screening readiness</t>
  </si>
  <si>
    <t>Complete Laser AI setup, confirm time tracking, and validate the abstract screening setup before screening begins.</t>
  </si>
  <si>
    <t>2026-05-15</t>
  </si>
  <si>
    <t>phase1-01 BP Targets</t>
  </si>
  <si>
    <t>phase1-02</t>
  </si>
  <si>
    <t>Psoriasis</t>
  </si>
  <si>
    <t>Systemic pharmacological treatments for chronic plaque psoriasis</t>
  </si>
  <si>
    <t>Laurence Le Cleach / Sivem Afach</t>
  </si>
  <si>
    <t>Full-text readiness / Nested Knowledge full-text issue follow-up</t>
  </si>
  <si>
    <t>Confirm remaining full-text gaps with review team and proceed with full-text readiness once unresolved PDFs/access issues are handled.</t>
  </si>
  <si>
    <t>phase1-02 Psoriasis</t>
  </si>
  <si>
    <t>phase1-03</t>
  </si>
  <si>
    <t>Fruit &amp; Veg</t>
  </si>
  <si>
    <t>Interventions for increasing fruit and vegetable consumption in children aged five years and under</t>
  </si>
  <si>
    <t>Rebecca K. Hodder</t>
  </si>
  <si>
    <t>Training and setup planning</t>
  </si>
  <si>
    <t>Confirm allocated tool, review team access, and collect RIS/search results after the scheduled search.</t>
  </si>
  <si>
    <t>2026-05-20</t>
  </si>
  <si>
    <t>phase1-03 Fruit &amp; Veg</t>
  </si>
  <si>
    <t>phase1-04</t>
  </si>
  <si>
    <t>Chlamydia</t>
  </si>
  <si>
    <t>Screening for genital chlamydia infection</t>
  </si>
  <si>
    <t>Elena Kostov</t>
  </si>
  <si>
    <t>Confirmation and onboarding readiness</t>
  </si>
  <si>
    <t>Confirm eligibility, participation, timeline, and allocated AI tool before setup.</t>
  </si>
  <si>
    <t>phase1-04 Chlamydia</t>
  </si>
  <si>
    <t>phase1-05</t>
  </si>
  <si>
    <t>Review 5 TBD</t>
  </si>
  <si>
    <t>Core Team</t>
  </si>
  <si>
    <t>Additional review identification</t>
  </si>
  <si>
    <t>Identify and confirm one additional eligible Cochrane review for Phase 1.</t>
  </si>
  <si>
    <t>2026-05-19</t>
  </si>
  <si>
    <t>phase1-05 Review 5 TBD</t>
  </si>
  <si>
    <t>phase2-01</t>
  </si>
  <si>
    <t>Phase 2 Batch</t>
  </si>
  <si>
    <t>Future batch planning</t>
  </si>
  <si>
    <t>Keep placeholders until Phase 1 stabilizes.</t>
  </si>
  <si>
    <t>phase2-01 Phase 2 Batch</t>
  </si>
  <si>
    <t>Workflow Master</t>
  </si>
  <si>
    <t>Use row 4 onward for data entry. Keep IDs stable for GitHub/data.js export.</t>
  </si>
  <si>
    <t>WorkflowStepID</t>
  </si>
  <si>
    <t>StepOrder</t>
  </si>
  <si>
    <t>WorkflowGroup</t>
  </si>
  <si>
    <t>FullActivity</t>
  </si>
  <si>
    <t>ResponsibleDefault</t>
  </si>
  <si>
    <t>DependsOn</t>
  </si>
  <si>
    <t>Blocks</t>
  </si>
  <si>
    <t>DefaultStatus</t>
  </si>
  <si>
    <t>DisplayOrder</t>
  </si>
  <si>
    <t>InternalNotes</t>
  </si>
  <si>
    <t>w01</t>
  </si>
  <si>
    <t>Review selected</t>
  </si>
  <si>
    <t>Selection of review - core team</t>
  </si>
  <si>
    <t>w02</t>
  </si>
  <si>
    <t>PM confirmation</t>
  </si>
  <si>
    <t>Selection of review - project manager confirmation</t>
  </si>
  <si>
    <t>Krishna</t>
  </si>
  <si>
    <t>w03</t>
  </si>
  <si>
    <t>Final confirmation</t>
  </si>
  <si>
    <t>Selection of review - final confirmation</t>
  </si>
  <si>
    <t>w04</t>
  </si>
  <si>
    <t>Tool allocated</t>
  </si>
  <si>
    <t>Confirm allocated AI tool for review</t>
  </si>
  <si>
    <t>w05,w07,w15,w30,w45</t>
  </si>
  <si>
    <t>w05</t>
  </si>
  <si>
    <t>Team split</t>
  </si>
  <si>
    <t>Confirm review team split: Human workflow and AI-assisted workflow</t>
  </si>
  <si>
    <t>Krishna / Review Team</t>
  </si>
  <si>
    <t>w08,w09,w17,w32,w47</t>
  </si>
  <si>
    <t>w06</t>
  </si>
  <si>
    <t>Folder access</t>
  </si>
  <si>
    <t>Confirm SharePoint/folder access for review team</t>
  </si>
  <si>
    <t>w10,w11,w12</t>
  </si>
  <si>
    <t>w07</t>
  </si>
  <si>
    <t>Tool access</t>
  </si>
  <si>
    <t>Confirm AI tool access for allocated users</t>
  </si>
  <si>
    <t>Response Team / Allocated Tool Team</t>
  </si>
  <si>
    <t>w15,w30,w45</t>
  </si>
  <si>
    <t>w08</t>
  </si>
  <si>
    <t>Blinding shared</t>
  </si>
  <si>
    <t>Confirm blinding instructions shared with review teams</t>
  </si>
  <si>
    <t>Krishna / Sean</t>
  </si>
  <si>
    <t>w17,w18,w32,w33,w47,w48</t>
  </si>
  <si>
    <t>w09</t>
  </si>
  <si>
    <t>Time tracking</t>
  </si>
  <si>
    <t>Confirm Clockify or alternate time-tracking setup</t>
  </si>
  <si>
    <t>w10</t>
  </si>
  <si>
    <t>RIS files</t>
  </si>
  <si>
    <t>Review team to share RIS files with setup team</t>
  </si>
  <si>
    <t>Review Team</t>
  </si>
  <si>
    <t>w15</t>
  </si>
  <si>
    <t>w11</t>
  </si>
  <si>
    <t>Protocol &amp; criteria</t>
  </si>
  <si>
    <t>Review team to share protocol and inclusion/exclusion criteria</t>
  </si>
  <si>
    <t>w12,w15,w29</t>
  </si>
  <si>
    <t>w12</t>
  </si>
  <si>
    <t>Data items</t>
  </si>
  <si>
    <t>Finalise data items with Sean</t>
  </si>
  <si>
    <t>Review Team / Sean</t>
  </si>
  <si>
    <t>w13,w14,w43,w44</t>
  </si>
  <si>
    <t>w13</t>
  </si>
  <si>
    <t>Comparable DE</t>
  </si>
  <si>
    <t>Confirm data extraction structure is comparable between Human and AI workflows</t>
  </si>
  <si>
    <t>w14,w44</t>
  </si>
  <si>
    <t>w14</t>
  </si>
  <si>
    <t>Sean approval</t>
  </si>
  <si>
    <t>Confirm extraction form/template is approved by Sean</t>
  </si>
  <si>
    <t>Sean</t>
  </si>
  <si>
    <t>w43,w44,w45</t>
  </si>
  <si>
    <t>Tool setup</t>
  </si>
  <si>
    <t>Tool setup - allocated AI tool for abstract screening</t>
  </si>
  <si>
    <t>w04,w07,w10,w11</t>
  </si>
  <si>
    <t>w16</t>
  </si>
  <si>
    <t>Setup validated</t>
  </si>
  <si>
    <t>Review team validates abstract screening setup before starting</t>
  </si>
  <si>
    <t>w17,w18</t>
  </si>
  <si>
    <t>w17</t>
  </si>
  <si>
    <t>Human screening</t>
  </si>
  <si>
    <t>Abstract screening - Human workflow</t>
  </si>
  <si>
    <t>w05,w08,w09,w16</t>
  </si>
  <si>
    <t>w21,w24,w25</t>
  </si>
  <si>
    <t>w18</t>
  </si>
  <si>
    <t>AI screening</t>
  </si>
  <si>
    <t>Abstract screening - allocated AI tool</t>
  </si>
  <si>
    <t>Allocated Tool Team</t>
  </si>
  <si>
    <t>w07,w08,w09,w16</t>
  </si>
  <si>
    <t>w19,w21,w24,w25</t>
  </si>
  <si>
    <t>w19</t>
  </si>
  <si>
    <t>Export AI output</t>
  </si>
  <si>
    <t>Export abstract screening output from allocated AI tool</t>
  </si>
  <si>
    <t>w20</t>
  </si>
  <si>
    <t>Share output</t>
  </si>
  <si>
    <t>Share abstract screening output with Sean / data manager</t>
  </si>
  <si>
    <t>Krishna / Data Manager</t>
  </si>
  <si>
    <t>w24,w25</t>
  </si>
  <si>
    <t>w21</t>
  </si>
  <si>
    <t>Survey sent</t>
  </si>
  <si>
    <t>Share usability survey on abstract screening experience</t>
  </si>
  <si>
    <t>w22</t>
  </si>
  <si>
    <t>Survey submitted</t>
  </si>
  <si>
    <t>Submit usability survey on abstract screening experience</t>
  </si>
  <si>
    <t>w23</t>
  </si>
  <si>
    <t>Survey received</t>
  </si>
  <si>
    <t>Confirm usability survey responses received for abstract screening</t>
  </si>
  <si>
    <t>w24</t>
  </si>
  <si>
    <t>Quality check</t>
  </si>
  <si>
    <t>Data completeness and quality check before abstract screening adjudication</t>
  </si>
  <si>
    <t>Data Manager / Sean</t>
  </si>
  <si>
    <t>w20,w23</t>
  </si>
  <si>
    <t>w25</t>
  </si>
  <si>
    <t>Abstract adjudication</t>
  </si>
  <si>
    <t>Adjudication panel after abstract screening</t>
  </si>
  <si>
    <t>Sean and Adjudication Panel</t>
  </si>
  <si>
    <t>w26,w28,w30</t>
  </si>
  <si>
    <t>w26</t>
  </si>
  <si>
    <t>PDFs received</t>
  </si>
  <si>
    <t>Review team to share PDF files with setup team</t>
  </si>
  <si>
    <t>w27,w29</t>
  </si>
  <si>
    <t>w27</t>
  </si>
  <si>
    <t>PDF issues logged</t>
  </si>
  <si>
    <t>Confirm unavailable PDFs or access issues are logged</t>
  </si>
  <si>
    <t>Review Team / Krishna</t>
  </si>
  <si>
    <t>w29</t>
  </si>
  <si>
    <t>w28</t>
  </si>
  <si>
    <t>Check-in meeting</t>
  </si>
  <si>
    <t>Meeting with Gerald, Amin, Susan, and optional review team members</t>
  </si>
  <si>
    <t>Criteria finalized</t>
  </si>
  <si>
    <t>Confirm full-text screening criteria are finalized</t>
  </si>
  <si>
    <t>w11,w26,w27,w28</t>
  </si>
  <si>
    <t>w30</t>
  </si>
  <si>
    <t>Tool setup - allocated AI tool for full-text screening</t>
  </si>
  <si>
    <t>w04,w07,w29</t>
  </si>
  <si>
    <t>w31</t>
  </si>
  <si>
    <t>Review team validates full-text screening setup before starting</t>
  </si>
  <si>
    <t>w32,w33</t>
  </si>
  <si>
    <t>w32</t>
  </si>
  <si>
    <t>Human full text</t>
  </si>
  <si>
    <t>Full-text screening - Human workflow</t>
  </si>
  <si>
    <t>w05,w08,w09,w31</t>
  </si>
  <si>
    <t>w36,w39,w40</t>
  </si>
  <si>
    <t>w33</t>
  </si>
  <si>
    <t>AI full text</t>
  </si>
  <si>
    <t>Full-text screening - allocated AI tool</t>
  </si>
  <si>
    <t>w07,w08,w09,w31</t>
  </si>
  <si>
    <t>w34,w36,w39,w40</t>
  </si>
  <si>
    <t>w34</t>
  </si>
  <si>
    <t>Export full-text screening output from allocated AI tool</t>
  </si>
  <si>
    <t>w35</t>
  </si>
  <si>
    <t>Share full-text screening output with Sean / data manager</t>
  </si>
  <si>
    <t>w39,w40</t>
  </si>
  <si>
    <t>w36</t>
  </si>
  <si>
    <t>Share usability survey on full-text screening workflow</t>
  </si>
  <si>
    <t>w37</t>
  </si>
  <si>
    <t>Submit usability survey on full-text screening workflow</t>
  </si>
  <si>
    <t>w38</t>
  </si>
  <si>
    <t>Confirm usability survey responses received for full-text screening</t>
  </si>
  <si>
    <t>w39</t>
  </si>
  <si>
    <t>Data completeness and quality check before full-text adjudication</t>
  </si>
  <si>
    <t>w35,w38</t>
  </si>
  <si>
    <t>w40</t>
  </si>
  <si>
    <t>Full-text adjudication</t>
  </si>
  <si>
    <t>Adjudication panel after full-text screening</t>
  </si>
  <si>
    <t>w42,w43,w45</t>
  </si>
  <si>
    <t>w41</t>
  </si>
  <si>
    <t>Platform ready</t>
  </si>
  <si>
    <t>Finalisation of Laser AI platform/server setup, if applicable</t>
  </si>
  <si>
    <t>Core Team / Laser AI</t>
  </si>
  <si>
    <t>w04,w07</t>
  </si>
  <si>
    <t>w45</t>
  </si>
  <si>
    <t>w42</t>
  </si>
  <si>
    <t>DE check-in</t>
  </si>
  <si>
    <t>Meeting with Gerald and optional review team members before data extraction</t>
  </si>
  <si>
    <t>w43</t>
  </si>
  <si>
    <t>DE items confirmed</t>
  </si>
  <si>
    <t>Confirm final data extraction items and definitions</t>
  </si>
  <si>
    <t>w12,w14,w40,w42</t>
  </si>
  <si>
    <t>w44</t>
  </si>
  <si>
    <t>Form approved</t>
  </si>
  <si>
    <t>w13,w14,w43</t>
  </si>
  <si>
    <t>Tool setup - allocated AI tool for data extraction</t>
  </si>
  <si>
    <t>w41,w44</t>
  </si>
  <si>
    <t>w46</t>
  </si>
  <si>
    <t>Review team validates data extraction setup before starting</t>
  </si>
  <si>
    <t>w47,w48</t>
  </si>
  <si>
    <t>w47</t>
  </si>
  <si>
    <t>Human extraction</t>
  </si>
  <si>
    <t>Data extraction - Human workflow</t>
  </si>
  <si>
    <t>w05,w08,w09,w46</t>
  </si>
  <si>
    <t>w51,w54,w55</t>
  </si>
  <si>
    <t>w48</t>
  </si>
  <si>
    <t>AI extraction</t>
  </si>
  <si>
    <t>Data extraction - allocated AI tool</t>
  </si>
  <si>
    <t>w07,w08,w09,w46</t>
  </si>
  <si>
    <t>w49,w51,w54,w55</t>
  </si>
  <si>
    <t>w49</t>
  </si>
  <si>
    <t>Export data extraction output from allocated AI tool</t>
  </si>
  <si>
    <t>w50</t>
  </si>
  <si>
    <t>Share data extraction output with Sean / data manager</t>
  </si>
  <si>
    <t>w54,w55</t>
  </si>
  <si>
    <t>w51</t>
  </si>
  <si>
    <t>Share usability survey on data extraction workflow</t>
  </si>
  <si>
    <t>w52</t>
  </si>
  <si>
    <t>Submit usability survey on data extraction workflow</t>
  </si>
  <si>
    <t>w53</t>
  </si>
  <si>
    <t>Confirm usability survey responses received for data extraction</t>
  </si>
  <si>
    <t>w54</t>
  </si>
  <si>
    <t>Data completeness and quality check before data extraction adjudication</t>
  </si>
  <si>
    <t>w50,w53</t>
  </si>
  <si>
    <t>w55</t>
  </si>
  <si>
    <t>Adjudication dataset</t>
  </si>
  <si>
    <t>Prepare adjudication-ready dataset</t>
  </si>
  <si>
    <t>w56,w57,w58,w61,w62,w63</t>
  </si>
  <si>
    <t>w56</t>
  </si>
  <si>
    <t>DE adjudication</t>
  </si>
  <si>
    <t>Adjudication panel after data extraction</t>
  </si>
  <si>
    <t>w57,w60,w61,w62,w63</t>
  </si>
  <si>
    <t>w57</t>
  </si>
  <si>
    <t>Gerald closeout</t>
  </si>
  <si>
    <t>Meeting with Gerald before analysis closeout</t>
  </si>
  <si>
    <t>w59,w63</t>
  </si>
  <si>
    <t>w58</t>
  </si>
  <si>
    <t>Stability study</t>
  </si>
  <si>
    <t>Fully automated and stability study - Pawel and Noosheen</t>
  </si>
  <si>
    <t>Pawel / Noosheen</t>
  </si>
  <si>
    <t>w63</t>
  </si>
  <si>
    <t>w59</t>
  </si>
  <si>
    <t>Follow-up</t>
  </si>
  <si>
    <t>Follow-up and review</t>
  </si>
  <si>
    <t>w60</t>
  </si>
  <si>
    <t>Adjudication work</t>
  </si>
  <si>
    <t>Adjudication panel parallel work</t>
  </si>
  <si>
    <t>Adjudication Panel</t>
  </si>
  <si>
    <t>w25,w40,w56</t>
  </si>
  <si>
    <t>w61</t>
  </si>
  <si>
    <t>Afroditi analysis</t>
  </si>
  <si>
    <t>Afroditi</t>
  </si>
  <si>
    <t>w55,w56</t>
  </si>
  <si>
    <t>w62</t>
  </si>
  <si>
    <t>Downstream errors</t>
  </si>
  <si>
    <t>Downstream impact of errors research - Max and Joanna</t>
  </si>
  <si>
    <t>Max / Joanna</t>
  </si>
  <si>
    <t>Final analysis</t>
  </si>
  <si>
    <t>Analysis Team</t>
  </si>
  <si>
    <t>w57,w58,w59,w60,w61,w62</t>
  </si>
  <si>
    <t>Global Dashboard Content</t>
  </si>
  <si>
    <t>Phase Strip / Timeline Cards</t>
  </si>
  <si>
    <t>PhaseKey</t>
  </si>
  <si>
    <t>PhaseLabel</t>
  </si>
  <si>
    <t>Window</t>
  </si>
  <si>
    <t>Note</t>
  </si>
  <si>
    <t>Display</t>
  </si>
  <si>
    <t>pilot</t>
  </si>
  <si>
    <t>Mid March to Mid April</t>
  </si>
  <si>
    <t>phase1</t>
  </si>
  <si>
    <t>Mid April to End June</t>
  </si>
  <si>
    <t>Current Focus</t>
  </si>
  <si>
    <t>governance</t>
  </si>
  <si>
    <t>Interim Analysis</t>
  </si>
  <si>
    <t>End June</t>
  </si>
  <si>
    <t>Decision Gate</t>
  </si>
  <si>
    <t>phase2</t>
  </si>
  <si>
    <t>Start July to End September</t>
  </si>
  <si>
    <t>Report</t>
  </si>
  <si>
    <t>October</t>
  </si>
  <si>
    <t>Planned</t>
  </si>
  <si>
    <t>Resources Displayed in Dashboard</t>
  </si>
  <si>
    <t>ResourceID</t>
  </si>
  <si>
    <t>Name</t>
  </si>
  <si>
    <t>Type</t>
  </si>
  <si>
    <t>Owner</t>
  </si>
  <si>
    <t>URL</t>
  </si>
  <si>
    <t>Notes</t>
  </si>
  <si>
    <t>res-001</t>
  </si>
  <si>
    <t>Krishna / Core Team</t>
  </si>
  <si>
    <t>res-002</t>
  </si>
  <si>
    <t>res-003</t>
  </si>
  <si>
    <t>res-006</t>
  </si>
  <si>
    <t>Sean / Krishna</t>
  </si>
  <si>
    <t>res-007</t>
  </si>
  <si>
    <t>Andreea / Krishna</t>
  </si>
  <si>
    <t>Upcoming Meetings Displayed in Dashboard</t>
  </si>
  <si>
    <t>MeetingID</t>
  </si>
  <si>
    <t>Date</t>
  </si>
  <si>
    <t>Title</t>
  </si>
  <si>
    <t>People</t>
  </si>
  <si>
    <t>meet-001</t>
  </si>
  <si>
    <t>15 May 2026</t>
  </si>
  <si>
    <t>Usability survey tracking discussion</t>
  </si>
  <si>
    <t>meet-002</t>
  </si>
  <si>
    <t>18 May 2026</t>
  </si>
  <si>
    <t>Core team discussion with Meghan</t>
  </si>
  <si>
    <t>meet-003</t>
  </si>
  <si>
    <t>19 May 2026</t>
  </si>
  <si>
    <t>BP Targets review team check-in</t>
  </si>
  <si>
    <t>meet-004</t>
  </si>
  <si>
    <t>Psoriasis review team check-in</t>
  </si>
  <si>
    <t>meet-005</t>
  </si>
  <si>
    <t>Adjudication pilot deadline</t>
  </si>
  <si>
    <t>meet-006</t>
  </si>
  <si>
    <t>21 May 2026</t>
  </si>
  <si>
    <t>PM + PI meeting</t>
  </si>
  <si>
    <t>pilot-01 Caffeine | Dashboard Content Sheet</t>
  </si>
  <si>
    <t>Executive Review Card</t>
  </si>
  <si>
    <t>Card Field</t>
  </si>
  <si>
    <t>Value</t>
  </si>
  <si>
    <t>CurrentUpdate</t>
  </si>
  <si>
    <t>Time-on-task values and survey receipt still need verification for pilot closeout.</t>
  </si>
  <si>
    <t>Variance</t>
  </si>
  <si>
    <t>Full-text time not reported.</t>
  </si>
  <si>
    <t>Set to No if review should not appear in dashboard.</t>
  </si>
  <si>
    <t>LastUpdated</t>
  </si>
  <si>
    <t>2026-05-14</t>
  </si>
  <si>
    <t>Dashboard Milestones</t>
  </si>
  <si>
    <t>Milestone</t>
  </si>
  <si>
    <t>onboarding</t>
  </si>
  <si>
    <t>setup</t>
  </si>
  <si>
    <t>abstract</t>
  </si>
  <si>
    <t>fullText</t>
  </si>
  <si>
    <t>extraction</t>
  </si>
  <si>
    <t>analysis</t>
  </si>
  <si>
    <t>Files Displayed in Review Detail</t>
  </si>
  <si>
    <t>DueDate</t>
  </si>
  <si>
    <t>Stage Progress: Visual Tracker / Operations</t>
  </si>
  <si>
    <t>StageName</t>
  </si>
  <si>
    <t>HumanProgress</t>
  </si>
  <si>
    <t>AIProgress</t>
  </si>
  <si>
    <t>Setup / Coordination</t>
  </si>
  <si>
    <t>Abstract Screening</t>
  </si>
  <si>
    <t>Full-text Screening</t>
  </si>
  <si>
    <t>Data Extraction / Analysis</t>
  </si>
  <si>
    <t>Review Workflow Status: Full 63 Actions</t>
  </si>
  <si>
    <t>ActionOrder</t>
  </si>
  <si>
    <t>Activity</t>
  </si>
  <si>
    <t>Responsible</t>
  </si>
  <si>
    <t>Review Tasks Displayed in Dashboard</t>
  </si>
  <si>
    <t>TaskID</t>
  </si>
  <si>
    <t>Task</t>
  </si>
  <si>
    <t>Dependency</t>
  </si>
  <si>
    <t>Communication</t>
  </si>
  <si>
    <t>Source</t>
  </si>
  <si>
    <t>SourceDate</t>
  </si>
  <si>
    <t>task-pilot-01-001</t>
  </si>
  <si>
    <t>Verify Matteo time-on-task values</t>
  </si>
  <si>
    <t>Krishna / Amin</t>
  </si>
  <si>
    <t>Matteo self-reported time</t>
  </si>
  <si>
    <t>Check whether reported title/abstract and data extraction times are sufficiently reliable for pilot note.</t>
  </si>
  <si>
    <t>2026-05-07</t>
  </si>
  <si>
    <t>task-pilot-01-002</t>
  </si>
  <si>
    <t>Consolidate usability survey receipt</t>
  </si>
  <si>
    <t>Susan</t>
  </si>
  <si>
    <t>Survey access</t>
  </si>
  <si>
    <t>Matteo said all surveys were submitted; confirm in survey system.</t>
  </si>
  <si>
    <t>task-pilot-01-003</t>
  </si>
  <si>
    <t>Capture lessons learned before pilot closeout</t>
  </si>
  <si>
    <t>Lessons document</t>
  </si>
  <si>
    <t>Include review retention, tool support, workload clarity, and volunteer usability points.</t>
  </si>
  <si>
    <t>Recent Mail / Communication Log Displayed in Dashboard</t>
  </si>
  <si>
    <t>CommunicationID</t>
  </si>
  <si>
    <t>Subject</t>
  </si>
  <si>
    <t>Summary</t>
  </si>
  <si>
    <t>LinkedTaskID</t>
  </si>
  <si>
    <t>LinkedAction</t>
  </si>
  <si>
    <t>SourceLink</t>
  </si>
  <si>
    <t>comm-pilot-01-001</t>
  </si>
  <si>
    <t>Pilot time-on-task update</t>
  </si>
  <si>
    <t>Matteo reported title/abstract and data extraction timing values; full-text time was not reported and needs to be documented as a limitation.</t>
  </si>
  <si>
    <t>comm-pilot-01-002</t>
  </si>
  <si>
    <t>Pilot survey completion update</t>
  </si>
  <si>
    <t>Krishna / Susan</t>
  </si>
  <si>
    <t>Matteo indicated survey completion, but receipt should be confirmed in the survey system.</t>
  </si>
  <si>
    <t>Critical Items Displayed in Dashboard</t>
  </si>
  <si>
    <t>CriticalItem</t>
  </si>
  <si>
    <t>Full-text time not reported</t>
  </si>
  <si>
    <t>pilot-02 DMARDs RA | Dashboard Content Sheet</t>
  </si>
  <si>
    <t>No fresh completion update found in the latest email batch.</t>
  </si>
  <si>
    <t>Pilot output status still unclear.</t>
  </si>
  <si>
    <t>task-pilot-02-001</t>
  </si>
  <si>
    <t>Confirm latest Laser AI progress and outputs</t>
  </si>
  <si>
    <t>Sean / Laser AI / Review Team</t>
  </si>
  <si>
    <t>Vendor/team update</t>
  </si>
  <si>
    <t>Clarify whether remaining pilot outputs are ready for closeout and adjudication preparation.</t>
  </si>
  <si>
    <t>task-pilot-02-002</t>
  </si>
  <si>
    <t>Confirm whether outputs can move toward adjudication preparation</t>
  </si>
  <si>
    <t>Pilot completion status</t>
  </si>
  <si>
    <t>Confirm whether outputs are complete enough to share with Sean/data manager.</t>
  </si>
  <si>
    <t>comm-pilot-02-001</t>
  </si>
  <si>
    <t>DMARDs pilot completion follow-up</t>
  </si>
  <si>
    <t>Core Team / Sean</t>
  </si>
  <si>
    <t>Latest Laser AI completion status and availability of outputs for adjudication preparation remain unclear.</t>
  </si>
  <si>
    <t>Pilot output status unclear</t>
  </si>
  <si>
    <t>phase1-01 BP Targets | Dashboard Content Sheet</t>
  </si>
  <si>
    <t>Sean uploaded the final data items file on 14 May after a minor instruction-field change; Doreen confirmed the change makes sense. Laser AI setup/readiness can proceed.</t>
  </si>
  <si>
    <t>Data extraction comparability issue appears resolved; final data items now uploaded by Sean.</t>
  </si>
  <si>
    <t>task-phase1-01-001</t>
  </si>
  <si>
    <t>Complete Laser AI setup readiness</t>
  </si>
  <si>
    <t>Response Team / Laser AI</t>
  </si>
  <si>
    <t>Final data items and review materials</t>
  </si>
  <si>
    <t>Proceed with Laser AI setup using the final data items file uploaded by Sean.</t>
  </si>
  <si>
    <t>task-phase1-01-002</t>
  </si>
  <si>
    <t>Confirm use of final data items file</t>
  </si>
  <si>
    <t>Sean / Meghan / Response Team</t>
  </si>
  <si>
    <t>Final data items file</t>
  </si>
  <si>
    <t>Sean uploaded the final data items file and Doreen confirmed the final change makes sense.</t>
  </si>
  <si>
    <t>task-phase1-01-003</t>
  </si>
  <si>
    <t>Immediate</t>
  </si>
  <si>
    <t>Reviewer time capture</t>
  </si>
  <si>
    <t>Offer Clockify or a simple manual stopwatch/Excel method if easier for the review team.</t>
  </si>
  <si>
    <t>task-phase1-01-004</t>
  </si>
  <si>
    <t>Validate abstract screening setup before screening starts</t>
  </si>
  <si>
    <t>Review Team / Response Team</t>
  </si>
  <si>
    <t>After setup</t>
  </si>
  <si>
    <t>Setup completion</t>
  </si>
  <si>
    <t>Do not mark abstract screening active until the setup is validated and reviewers begin screening.</t>
  </si>
  <si>
    <t>Project tracking</t>
  </si>
  <si>
    <t>comm-phase1-01-001</t>
  </si>
  <si>
    <t>BP Targets data items finalization</t>
  </si>
  <si>
    <t>Sean Gardner</t>
  </si>
  <si>
    <t>Sean uploaded the final data items file after moving the instruction “Record timepoint, if applicable” into the instruction field for outcome data items.</t>
  </si>
  <si>
    <t>comm-phase1-01-002</t>
  </si>
  <si>
    <t>BP Targets confirmation</t>
  </si>
  <si>
    <t>Krishna / Response Team</t>
  </si>
  <si>
    <t>Doreen confirmed that Sean’s final minor change makes sense.</t>
  </si>
  <si>
    <t>comm-phase1-01-003</t>
  </si>
  <si>
    <t>BP Targets team check-in invitation</t>
  </si>
  <si>
    <t>Doreen Larvie / Review Team</t>
  </si>
  <si>
    <t>Check-in email sent to understand progress, issues encountered, and support needs for the Blood pressure targets review.</t>
  </si>
  <si>
    <t>Data items finalization recently resolved</t>
  </si>
  <si>
    <t>phase1-02 Psoriasis | Dashboard Content Sheet</t>
  </si>
  <si>
    <t>Nested Knowledge completed action items for trial registries and multi-abstract PDFs in the Plaque Psoriasis project. Remaining unavailable or paywalled full texts have been commented on in Study Inspector.</t>
  </si>
  <si>
    <t>Full-text issue partially resolved by Nested Knowledge; remaining paywalled/unavailable records may still require review-team input.</t>
  </si>
  <si>
    <t>task-phase1-02-001</t>
  </si>
  <si>
    <t>Confirm remaining full-text gaps with review team</t>
  </si>
  <si>
    <t>Review Team / Meghan / Nested Knowledge</t>
  </si>
  <si>
    <t>Remaining unavailable or paywalled full texts</t>
  </si>
  <si>
    <t>Nested Knowledge commented on unavailable or paywalled records; confirm whether review team can source remaining files.</t>
  </si>
  <si>
    <t>task-phase1-02-002</t>
  </si>
  <si>
    <t>Confirm full-text readiness after Nested Knowledge fixes</t>
  </si>
  <si>
    <t>Meghan / Response Team</t>
  </si>
  <si>
    <t>Full-text files and criteria</t>
  </si>
  <si>
    <t>Trial registry and multi-abstract PDF issues were addressed by Nested Knowledge; remaining access gaps need confirmation.</t>
  </si>
  <si>
    <t>task-phase1-02-003</t>
  </si>
  <si>
    <t>Confirm full-text criteria and handling of remaining full-text issues</t>
  </si>
  <si>
    <t>Eligibility criteria and full-text package</t>
  </si>
  <si>
    <t>Confirm criteria before full-text AI setup proceeds.</t>
  </si>
  <si>
    <t>task-phase1-02-004</t>
  </si>
  <si>
    <t>Send usability survey after abstract screening completion</t>
  </si>
  <si>
    <t>After abstract screening</t>
  </si>
  <si>
    <t>Abstract screening completion</t>
  </si>
  <si>
    <t>Send survey when abstract screening is confirmed complete.</t>
  </si>
  <si>
    <t>comm-phase1-02-001</t>
  </si>
  <si>
    <t>Nested Knowledge full-text issue update</t>
  </si>
  <si>
    <t>Ranita Tarchand</t>
  </si>
  <si>
    <t>Nested Knowledge / Meghan / Review Team</t>
  </si>
  <si>
    <t>Nested Knowledge completed action items #1 and #2 inside the Plaque Psoriasis project: trial registries with PDFs were added through CT.gov integration and multi-abstract PDFs were snipped to include the relevant abstract.</t>
  </si>
  <si>
    <t>comm-phase1-02-002</t>
  </si>
  <si>
    <t>Remaining full-text access gaps</t>
  </si>
  <si>
    <t>Review Team / Meghan</t>
  </si>
  <si>
    <t>Nested Knowledge reviewed records without full text and commented on records where a full text could not be sourced or was restricted behind a paywall.</t>
  </si>
  <si>
    <t>comm-phase1-02-003</t>
  </si>
  <si>
    <t>Psoriasis team check-in invitation</t>
  </si>
  <si>
    <t>Check-in email sent to understand current progress, issues encountered, and support needs for the psoriasis review.</t>
  </si>
  <si>
    <t>Remaining full-text gaps</t>
  </si>
  <si>
    <t>Full-text criteria still need confirmation</t>
  </si>
  <si>
    <t>phase1-03 Fruit &amp; Veg | Dashboard Content Sheet</t>
  </si>
  <si>
    <t>Search is expected around 20 May; training and tool setup should be timed closer to active start.</t>
  </si>
  <si>
    <t>Waiting for search/RIS before setup can proceed.</t>
  </si>
  <si>
    <t>task-phase1-03-001</t>
  </si>
  <si>
    <t>Confirm allocated AI tool and review team access</t>
  </si>
  <si>
    <t>Tool allocation</t>
  </si>
  <si>
    <t>Confirm logins and reviewer access before setup.</t>
  </si>
  <si>
    <t>task-phase1-03-002</t>
  </si>
  <si>
    <t>Arrange allocated tool training closer to study start date</t>
  </si>
  <si>
    <t>Krishna / Tool Team</t>
  </si>
  <si>
    <t>Closer to start date</t>
  </si>
  <si>
    <t>Schedule training near active start.</t>
  </si>
  <si>
    <t>task-phase1-03-003</t>
  </si>
  <si>
    <t>Collect search results after 20 May search</t>
  </si>
  <si>
    <t>After 20 May</t>
  </si>
  <si>
    <t>Search completion</t>
  </si>
  <si>
    <t>Ask team to share RIS/search results after scheduled search.</t>
  </si>
  <si>
    <t>task-phase1-03-004</t>
  </si>
  <si>
    <t>Begin setup only after RIS and review materials are available</t>
  </si>
  <si>
    <t>Response Team</t>
  </si>
  <si>
    <t>After materials received</t>
  </si>
  <si>
    <t>RIS and review materials</t>
  </si>
  <si>
    <t>Start setup only when materials are available.</t>
  </si>
  <si>
    <t>comm-phase1-03-001</t>
  </si>
  <si>
    <t>2026-05-08</t>
  </si>
  <si>
    <t>Fruit and vegetable search timing</t>
  </si>
  <si>
    <t>Rebecca K. Hodder / Review Team</t>
  </si>
  <si>
    <t>Search is expected around 20 May; setup and training should be aligned closer to the active start date.</t>
  </si>
  <si>
    <t>comm-phase1-03-002</t>
  </si>
  <si>
    <t>Fruit and vegetable setup planning</t>
  </si>
  <si>
    <t>Need to confirm allocated tool, review team access, and collect RIS/search results after the scheduled search.</t>
  </si>
  <si>
    <t>RIS/search results not yet available</t>
  </si>
  <si>
    <t>Tool allocation pending</t>
  </si>
  <si>
    <t>phase1-04 Chlamydia | Dashboard Content Sheet</t>
  </si>
  <si>
    <t>Candidate review remains under consideration. Setup should begin only after eligibility, participation, timeline, and tool allocation are confirmed.</t>
  </si>
  <si>
    <t>Candidate still requires confirmation before becoming active Phase 1 review.</t>
  </si>
  <si>
    <t>task-phase1-04-001</t>
  </si>
  <si>
    <t>Confirm review eligibility and participation</t>
  </si>
  <si>
    <t>Core Team / Review Team</t>
  </si>
  <si>
    <t>Review confirmation</t>
  </si>
  <si>
    <t>Confirm whether this review can be included in Phase 1.</t>
  </si>
  <si>
    <t>task-phase1-04-002</t>
  </si>
  <si>
    <t>Confirm review timeline and start date</t>
  </si>
  <si>
    <t>Team availability</t>
  </si>
  <si>
    <t>Agree realistic start date only if review is confirmed.</t>
  </si>
  <si>
    <t>task-phase1-04-003</t>
  </si>
  <si>
    <t>Confirm allocated AI tool after eligibility decision</t>
  </si>
  <si>
    <t>Eligibility decision</t>
  </si>
  <si>
    <t>Assign one AI tool only after eligibility and participation are confirmed.</t>
  </si>
  <si>
    <t>task-phase1-04-004</t>
  </si>
  <si>
    <t>Hold setup materials request until confirmation</t>
  </si>
  <si>
    <t>After confirmation</t>
  </si>
  <si>
    <t>Eligibility and allocation</t>
  </si>
  <si>
    <t>Do not request RIS, PDFs, criteria, or extraction materials until the review is confirmed.</t>
  </si>
  <si>
    <t>comm-phase1-04-001</t>
  </si>
  <si>
    <t>Chlamydia candidate tracking</t>
  </si>
  <si>
    <t>Elena Kostov / Core Team</t>
  </si>
  <si>
    <t>Krishna / Gerald / Ella</t>
  </si>
  <si>
    <t>Screening for genital chlamydia infection remains under review as a possible Phase 1 review. Eligibility, participation, timeline, and tool allocation need confirmation before setup.</t>
  </si>
  <si>
    <t>Eligibility and participation not confirmed</t>
  </si>
  <si>
    <t>phase1-05 Review 5 TBD | Dashboard Content Sheet</t>
  </si>
  <si>
    <t>Additional eligible review still needs to be identified or confirmed for Phase 1.</t>
  </si>
  <si>
    <t>Open Phase 1 slot remains pending.</t>
  </si>
  <si>
    <t>task-phase1-05-001</t>
  </si>
  <si>
    <t>Identify additional eligible review</t>
  </si>
  <si>
    <t>Candidate pool</t>
  </si>
  <si>
    <t>Shortlist review options.</t>
  </si>
  <si>
    <t>task-phase1-05-002</t>
  </si>
  <si>
    <t>Confirm team availability after candidate selection</t>
  </si>
  <si>
    <t>Review identification</t>
  </si>
  <si>
    <t>Contact review team once candidate is selected.</t>
  </si>
  <si>
    <t>task-phase1-05-003</t>
  </si>
  <si>
    <t>Assign allocated AI tool after candidate selection</t>
  </si>
  <si>
    <t>Assign one tool only after a review is selected.</t>
  </si>
  <si>
    <t>task-phase1-05-004</t>
  </si>
  <si>
    <t>Hold onboarding until review is confirmed</t>
  </si>
  <si>
    <t>Review and tool confirmation</t>
  </si>
  <si>
    <t>Start onboarding only after candidate and tool are confirmed.</t>
  </si>
  <si>
    <t>comm-phase1-05-001</t>
  </si>
  <si>
    <t>Additional Phase 1 review slot</t>
  </si>
  <si>
    <t>One additional eligible review still needs to be identified or confirmed for Phase 1.</t>
  </si>
  <si>
    <t>Open Phase 1 review slot</t>
  </si>
  <si>
    <t>phase2-01 Phase 2 Batch | Dashboard Content Sheet</t>
  </si>
  <si>
    <t>No update recorded.</t>
  </si>
  <si>
    <t>Phase 2 depends on Phase 1 stabilization and lessons learned.</t>
  </si>
  <si>
    <t>task-phase2-01-001</t>
  </si>
  <si>
    <t>Keep Phase 2 placeholder until Phase 1 stabilizes</t>
  </si>
  <si>
    <t>After Phase 1</t>
  </si>
  <si>
    <t>Phase 1 lessons learned</t>
  </si>
  <si>
    <t>Use Phase 1 lessons before scaling Phase 2.</t>
  </si>
  <si>
    <t>New Reviews Pipeline | Continuous Onboarding</t>
  </si>
  <si>
    <t>Use this sheet to capture candidate reviews before they are converted into full review sheets. Keep it light: review name, category/status, target phase, owner, and remarks.</t>
  </si>
  <si>
    <t>Pipeline Summary</t>
  </si>
  <si>
    <t>CandidateID</t>
  </si>
  <si>
    <t>ReviewName</t>
  </si>
  <si>
    <t>Category</t>
  </si>
  <si>
    <t>TargetPhase</t>
  </si>
  <si>
    <t>Lead/Contact</t>
  </si>
  <si>
    <t>ExpectedTiming</t>
  </si>
  <si>
    <t>Remarks</t>
  </si>
  <si>
    <t>MoveToFullSheet</t>
  </si>
  <si>
    <t>new-01</t>
  </si>
  <si>
    <t>new-02</t>
  </si>
  <si>
    <t>new-03</t>
  </si>
  <si>
    <t>new-04</t>
  </si>
  <si>
    <t>Suggested use of categories</t>
  </si>
  <si>
    <t>Likely eligible and suitable for near-term onboarding. Use when only final confirmation or timing is pending.</t>
  </si>
  <si>
    <t>Still being assessed. Use when eligibility, team capacity, timeline, or workflow fit needs clarification.</t>
  </si>
  <si>
    <t>Potentially useful but not for current onboarding wave. Keep for Phase 2 or later pipeline planning.</t>
  </si>
  <si>
    <t>Not suitable for the current validation phase. Keep brief reason in Remarks.</t>
  </si>
  <si>
    <t>Column1</t>
  </si>
  <si>
    <t>Column2</t>
  </si>
  <si>
    <t>Column3</t>
  </si>
  <si>
    <t>Column4</t>
  </si>
  <si>
    <t>Column5</t>
  </si>
  <si>
    <t>Column6</t>
  </si>
  <si>
    <t>Under Reviedsdfsfw</t>
  </si>
  <si>
    <t>Mohan Pammi — Human milk-derived fortifier versus bovine milk-derived fortifier for prevention of mortality and morbidity in preterm neonates</t>
  </si>
  <si>
    <t>Amanda Cross — review title/details pending</t>
  </si>
  <si>
    <t>Jai Das — Preventive lipid-based nutrient supplements given with complementary foods to infants and young children 6 to 23 months of age for health, nutrition, and developmental outcomes</t>
  </si>
  <si>
    <t>Jai Das — Vitamin C supplementation for prevention and treatment of pneumonia</t>
  </si>
  <si>
    <t>Kate O’Brien / Rebecca Hodder — Interventions for increasing fruit and vegetable consumption in children ages five years and under</t>
  </si>
  <si>
    <t>new-05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</si>
</sst>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0F172A"/>
      <name val="Carlito"/>
    </font>
    <font>
      <i/>
      <sz val="11"/>
      <color rgb="FF475569"/>
      <name val="Carlito"/>
    </font>
    <font>
      <b/>
      <sz val="11"/>
      <color rgb="FF111827"/>
      <name val="Carlito"/>
    </font>
    <font>
      <b/>
      <sz val="11"/>
      <name val="Carlito"/>
    </font>
    <font>
      <sz val="11"/>
      <color rgb="FF111827"/>
      <name val="Carlito"/>
    </font>
    <font>
      <sz val="8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4213D"/>
      </patternFill>
    </fill>
    <fill>
      <patternFill patternType="solid">
        <fgColor rgb="FFEEF2F6"/>
      </patternFill>
    </fill>
    <fill>
      <patternFill patternType="solid">
        <fgColor rgb="FFEAF0F7"/>
      </patternFill>
    </fill>
    <fill>
      <patternFill patternType="solid">
        <fgColor rgb="FF111827"/>
      </patternFill>
    </fill>
    <fill>
      <patternFill patternType="solid">
        <fgColor rgb="FF111827"/>
      </patternFill>
    </fill>
    <fill>
      <patternFill patternType="solid">
        <fgColor rgb="FFF3F6FA"/>
      </patternFill>
    </fill>
    <fill>
      <patternFill patternType="solid">
        <fgColor rgb="FFE8EEF5"/>
      </patternFill>
    </fill>
    <fill>
      <patternFill patternType="solid">
        <fgColor rgb="FFF8FA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NumberFormat="1" applyFont="1" applyFill="1" applyBorder="1" applyAlignment="1">
      <alignment horizontal="center" vertical="center"/>
    </xf>
    <xf numFmtId="0" fontId="2" fillId="2" borderId="0" xfId="0" applyNumberFormat="1" applyFont="1" applyFill="1" applyBorder="1" applyAlignment="1">
      <alignment vertical="center"/>
    </xf>
    <xf numFmtId="0" fontId="3" fillId="3" borderId="0" xfId="0" applyNumberFormat="1" applyFont="1" applyFill="1" applyBorder="1"/>
    <xf numFmtId="0" fontId="0" fillId="0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3" fillId="4" borderId="0" xfId="0" applyNumberFormat="1" applyFont="1" applyFill="1" applyBorder="1" applyAlignment="1">
      <alignment vertical="center"/>
    </xf>
    <xf numFmtId="0" fontId="1" fillId="5" borderId="0" xfId="0" applyNumberFormat="1" applyFont="1" applyFill="1" applyBorder="1" applyAlignment="1">
      <alignment horizontal="center" vertical="center"/>
    </xf>
    <xf numFmtId="0" fontId="2" fillId="5" borderId="0" xfId="0" applyNumberFormat="1" applyFont="1" applyFill="1" applyBorder="1" applyAlignment="1">
      <alignment horizontal="left" vertical="center"/>
    </xf>
    <xf numFmtId="0" fontId="2" fillId="5" borderId="0" xfId="0" applyNumberFormat="1" applyFont="1" applyFill="1" applyBorder="1" applyAlignment="1">
      <alignment horizontal="left"/>
    </xf>
    <xf numFmtId="0" fontId="1" fillId="5" borderId="0" xfId="0" applyNumberFormat="1" applyFont="1" applyFill="1" applyBorder="1"/>
    <xf numFmtId="0" fontId="1" fillId="5" borderId="0" xfId="0" applyNumberFormat="1" applyFont="1" applyFill="1" applyBorder="1" applyAlignment="1">
      <alignment horizontal="center"/>
    </xf>
    <xf numFmtId="0" fontId="2" fillId="5" borderId="0" xfId="0" applyNumberFormat="1" applyFont="1" applyFill="1" applyBorder="1" applyAlignment="1">
      <alignment horizontal="left" vertical="center" wrapText="1"/>
    </xf>
    <xf numFmtId="0" fontId="2" fillId="5" borderId="0" xfId="0" applyNumberFormat="1" applyFont="1" applyFill="1" applyBorder="1" applyAlignment="1">
      <alignment horizontal="left" wrapText="1"/>
    </xf>
    <xf numFmtId="0" fontId="1" fillId="6" borderId="0" xfId="0" applyNumberFormat="1" applyFont="1" applyFill="1" applyBorder="1" applyAlignment="1">
      <alignment horizontal="center"/>
    </xf>
    <xf numFmtId="0" fontId="6" fillId="0" borderId="0" xfId="0" applyNumberFormat="1" applyFont="1" applyFill="1"/>
    <xf numFmtId="0" fontId="6" fillId="0" borderId="0" xfId="0" applyNumberFormat="1" applyFont="1" applyFill="1" applyAlignment="1">
      <alignment horizontal="center"/>
    </xf>
    <xf numFmtId="0" fontId="1" fillId="6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Alignment="1">
      <alignment vertical="top" wrapText="1"/>
    </xf>
    <xf numFmtId="0" fontId="0" fillId="0" borderId="0" xfId="0" applyNumberFormat="1" applyFont="1" applyFill="1" applyAlignment="1">
      <alignment wrapText="1"/>
    </xf>
    <xf numFmtId="0" fontId="5" fillId="9" borderId="0" xfId="0" applyNumberFormat="1" applyFont="1" applyFill="1" applyAlignment="1">
      <alignment wrapText="1"/>
    </xf>
    <xf numFmtId="0" fontId="7" fillId="9" borderId="0" xfId="0" applyNumberFormat="1" applyFont="1" applyFill="1" applyAlignment="1">
      <alignment wrapText="1"/>
    </xf>
    <xf numFmtId="0" fontId="2" fillId="2" borderId="0" xfId="0" applyNumberFormat="1" applyFont="1" applyFill="1" applyBorder="1" applyAlignment="1">
      <alignment vertical="center" wrapText="1"/>
    </xf>
    <xf numFmtId="0" fontId="2" fillId="6" borderId="0" xfId="0" applyNumberFormat="1" applyFont="1" applyFill="1" applyBorder="1" applyAlignment="1">
      <alignment horizontal="left" vertical="center"/>
    </xf>
    <xf numFmtId="0" fontId="0" fillId="0" borderId="0" xfId="0"/>
    <xf numFmtId="0" fontId="4" fillId="7" borderId="0" xfId="0" applyNumberFormat="1" applyFont="1" applyFill="1" applyBorder="1" applyAlignment="1">
      <alignment wrapText="1"/>
    </xf>
    <xf numFmtId="0" fontId="5" fillId="8" borderId="0" xfId="0" applyNumberFormat="1" applyFont="1" applyFill="1"/>
    <xf numFmtId="0" fontId="0" fillId="0" borderId="0" xfId="0" applyNumberFormat="1" applyFont="1" applyFill="1"/>
    <xf numFmtId="0" fontId="5" fillId="8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viewIndexTable" displayName="ReviewIndexTable" ref="A1:N9">
  <tableColumns count="14">
    <tableColumn id="1" xr3:uid="{00000000-0010-0000-0000-000001000000}" name="ReviewID"/>
    <tableColumn id="2" xr3:uid="{00000000-0010-0000-0000-000002000000}" name="ShortName"/>
    <tableColumn id="3" xr3:uid="{00000000-0010-0000-0000-000003000000}" name="ReviewTitle"/>
    <tableColumn id="4" xr3:uid="{00000000-0010-0000-0000-000004000000}" name="Phase"/>
    <tableColumn id="5" xr3:uid="{00000000-0010-0000-0000-000005000000}" name="Status"/>
    <tableColumn id="6" xr3:uid="{00000000-0010-0000-0000-000006000000}" name="Risk"/>
    <tableColumn id="7" xr3:uid="{00000000-0010-0000-0000-000007000000}" name="Tool"/>
    <tableColumn id="8" xr3:uid="{00000000-0010-0000-0000-000008000000}" name="Lead"/>
    <tableColumn id="9" xr3:uid="{00000000-0010-0000-0000-000009000000}" name="CurrentStage"/>
    <tableColumn id="10" xr3:uid="{00000000-0010-0000-0000-00000A000000}" name="NextAction"/>
    <tableColumn id="11" xr3:uid="{00000000-0010-0000-0000-00000B000000}" name="TargetDate"/>
    <tableColumn id="12" xr3:uid="{00000000-0010-0000-0000-00000C000000}" name="Assessment"/>
    <tableColumn id="13" xr3:uid="{00000000-0010-0000-0000-00000D000000}" name="DisplayInHTML"/>
    <tableColumn id="14" xr3:uid="{00000000-0010-0000-0000-00000E000000}" name="ReviewShee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orkflow63ActionsTable" displayName="Workflow63ActionsTable" ref="A1:G64">
  <tableColumns count="7">
    <tableColumn id="1" xr3:uid="{00000000-0010-0000-0100-000001000000}" name="Workflow Master"/>
    <tableColumn id="2" xr3:uid="{00000000-0010-0000-0100-000002000000}" name="Column1"/>
    <tableColumn id="3" xr3:uid="{00000000-0010-0000-0100-000003000000}" name="Column2"/>
    <tableColumn id="4" xr3:uid="{00000000-0010-0000-0100-000004000000}" name="Column3"/>
    <tableColumn id="5" xr3:uid="{00000000-0010-0000-0100-000005000000}" name="Column4"/>
    <tableColumn id="6" xr3:uid="{00000000-0010-0000-0100-000006000000}" name="Column5"/>
    <tableColumn id="7" xr3:uid="{00000000-0010-0000-0100-000007000000}" name="Column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GlobalPhaseCards" displayName="GlobalPhaseCards" ref="A4:E9">
  <tableColumns count="5">
    <tableColumn id="1" xr3:uid="{00000000-0010-0000-0200-000001000000}" name="PhaseKey"/>
    <tableColumn id="2" xr3:uid="{00000000-0010-0000-0200-000002000000}" name="PhaseLabel"/>
    <tableColumn id="3" xr3:uid="{00000000-0010-0000-0200-000003000000}" name="Window"/>
    <tableColumn id="4" xr3:uid="{00000000-0010-0000-0200-000004000000}" name="Note"/>
    <tableColumn id="5" xr3:uid="{00000000-0010-0000-0200-000005000000}" name="Displa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lobalResources" displayName="GlobalResources" ref="A13:H18">
  <tableColumns count="8">
    <tableColumn id="1" xr3:uid="{00000000-0010-0000-0300-000001000000}" name="ResourceID"/>
    <tableColumn id="2" xr3:uid="{00000000-0010-0000-0300-000002000000}" name="Name"/>
    <tableColumn id="3" xr3:uid="{00000000-0010-0000-0300-000003000000}" name="Type"/>
    <tableColumn id="4" xr3:uid="{00000000-0010-0000-0300-000004000000}" name="Owner"/>
    <tableColumn id="5" xr3:uid="{00000000-0010-0000-0300-000005000000}" name="Status"/>
    <tableColumn id="6" xr3:uid="{00000000-0010-0000-0300-000006000000}" name="URL"/>
    <tableColumn id="7" xr3:uid="{00000000-0010-0000-0300-000007000000}" name="Notes"/>
    <tableColumn id="8" xr3:uid="{00000000-0010-0000-0300-000008000000}" name="Displa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lobalUpcomingMeetings" displayName="GlobalUpcomingMeetings" ref="A22:H28">
  <tableColumns count="8">
    <tableColumn id="1" xr3:uid="{00000000-0010-0000-0400-000001000000}" name="MeetingID"/>
    <tableColumn id="2" xr3:uid="{00000000-0010-0000-0400-000002000000}" name="Date"/>
    <tableColumn id="3" xr3:uid="{00000000-0010-0000-0400-000003000000}" name="Title"/>
    <tableColumn id="4" xr3:uid="{00000000-0010-0000-0400-000004000000}" name="People"/>
    <tableColumn id="5" xr3:uid="{00000000-0010-0000-0400-000005000000}" name="Purpose"/>
    <tableColumn id="6" xr3:uid="{00000000-0010-0000-0400-000006000000}" name="Status"/>
    <tableColumn id="7" xr3:uid="{00000000-0010-0000-0400-000007000000}" name="Notes"/>
    <tableColumn id="8" xr3:uid="{00000000-0010-0000-0400-000008000000}" name="Displa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xecutive_Caffeine_1" displayName="Executive_Caffeine_1" ref="A4:D20">
  <tableColumns count="4">
    <tableColumn id="1" xr3:uid="{00000000-0010-0000-0500-000001000000}" name="Card Field"/>
    <tableColumn id="2" xr3:uid="{00000000-0010-0000-0500-000002000000}" name="Value"/>
    <tableColumn id="3" xr3:uid="{00000000-0010-0000-0500-000003000000}" name="Display"/>
    <tableColumn id="4" xr3:uid="{00000000-0010-0000-0500-000004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ilestones_Caffeine_2" displayName="Milestones_Caffeine_2" ref="A23:F29">
  <tableColumns count="6">
    <tableColumn id="1" xr3:uid="{00000000-0010-0000-0600-000001000000}" name="Milestone"/>
    <tableColumn id="2" xr3:uid="{00000000-0010-0000-0600-000002000000}" name="Status"/>
    <tableColumn id="3" xr3:uid="{00000000-0010-0000-0600-000003000000}" name="Owner"/>
    <tableColumn id="4" xr3:uid="{00000000-0010-0000-0600-000004000000}" name="TargetDate"/>
    <tableColumn id="5" xr3:uid="{00000000-0010-0000-0600-000005000000}" name="Notes"/>
    <tableColumn id="6" xr3:uid="{00000000-0010-0000-0600-000006000000}" name="Display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Files_Caffeine_3" displayName="Files_Caffeine_3" ref="A32:G38">
  <tableColumns count="7">
    <tableColumn id="1" xr3:uid="{00000000-0010-0000-0700-000001000000}" name="FileType"/>
    <tableColumn id="2" xr3:uid="{00000000-0010-0000-0700-000002000000}" name="Ready"/>
    <tableColumn id="3" xr3:uid="{00000000-0010-0000-0700-000003000000}" name="Status"/>
    <tableColumn id="4" xr3:uid="{00000000-0010-0000-0700-000004000000}" name="Owner"/>
    <tableColumn id="5" xr3:uid="{00000000-0010-0000-0700-000005000000}" name="DueDate"/>
    <tableColumn id="6" xr3:uid="{00000000-0010-0000-0700-000006000000}" name="Notes"/>
    <tableColumn id="7" xr3:uid="{00000000-0010-0000-0700-000007000000}" name="Displa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tages_Caffeine_4" displayName="Stages_Caffeine_4" ref="A41:H45">
  <tableColumns count="8">
    <tableColumn id="1" xr3:uid="{00000000-0010-0000-0800-000001000000}" name="StageName"/>
    <tableColumn id="2" xr3:uid="{00000000-0010-0000-0800-000002000000}" name="HumanProgress"/>
    <tableColumn id="3" xr3:uid="{00000000-0010-0000-0800-000003000000}" name="AIProgress"/>
    <tableColumn id="4" xr3:uid="{00000000-0010-0000-0800-000004000000}" name="Status"/>
    <tableColumn id="5" xr3:uid="{00000000-0010-0000-0800-000005000000}" name="Owner"/>
    <tableColumn id="6" xr3:uid="{00000000-0010-0000-0800-000006000000}" name="TargetDate"/>
    <tableColumn id="7" xr3:uid="{00000000-0010-0000-0800-000007000000}" name="Notes"/>
    <tableColumn id="8" xr3:uid="{00000000-0010-0000-0800-000008000000}" name="Display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Workflow_Caffeine_5" displayName="Workflow_Caffeine_5" ref="A48:J111">
  <tableColumns count="10">
    <tableColumn id="1" xr3:uid="{00000000-0010-0000-0900-000001000000}" name="ActionOrder"/>
    <tableColumn id="2" xr3:uid="{00000000-0010-0000-0900-000002000000}" name="WorkflowStepID"/>
    <tableColumn id="3" xr3:uid="{00000000-0010-0000-0900-000003000000}" name="WorkflowGroup"/>
    <tableColumn id="4" xr3:uid="{00000000-0010-0000-0900-000004000000}" name="Activity"/>
    <tableColumn id="5" xr3:uid="{00000000-0010-0000-0900-000005000000}" name="Responsible"/>
    <tableColumn id="6" xr3:uid="{00000000-0010-0000-0900-000006000000}" name="Status"/>
    <tableColumn id="7" xr3:uid="{00000000-0010-0000-0900-000007000000}" name="Owner"/>
    <tableColumn id="8" xr3:uid="{00000000-0010-0000-0900-000008000000}" name="DueDate"/>
    <tableColumn id="9" xr3:uid="{00000000-0010-0000-0900-000009000000}" name="Notes"/>
    <tableColumn id="10" xr3:uid="{00000000-0010-0000-0900-00000A000000}" name="Display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sks_Caffeine_6" displayName="Tasks_Caffeine_6" ref="A114:K117">
  <tableColumns count="11">
    <tableColumn id="1" xr3:uid="{00000000-0010-0000-0A00-000001000000}" name="TaskID"/>
    <tableColumn id="2" xr3:uid="{00000000-0010-0000-0A00-000002000000}" name="Task"/>
    <tableColumn id="3" xr3:uid="{00000000-0010-0000-0A00-000003000000}" name="Owner"/>
    <tableColumn id="4" xr3:uid="{00000000-0010-0000-0A00-000004000000}" name="Status"/>
    <tableColumn id="5" xr3:uid="{00000000-0010-0000-0A00-000005000000}" name="Risk"/>
    <tableColumn id="6" xr3:uid="{00000000-0010-0000-0A00-000006000000}" name="DueDate"/>
    <tableColumn id="7" xr3:uid="{00000000-0010-0000-0A00-000007000000}" name="Dependency"/>
    <tableColumn id="8" xr3:uid="{00000000-0010-0000-0A00-000008000000}" name="Communication"/>
    <tableColumn id="9" xr3:uid="{00000000-0010-0000-0A00-000009000000}" name="Source"/>
    <tableColumn id="10" xr3:uid="{00000000-0010-0000-0A00-00000A000000}" name="SourceDate"/>
    <tableColumn id="11" xr3:uid="{00000000-0010-0000-0A00-00000B000000}" name="Display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Comms_Caffeine_7" displayName="Comms_Caffeine_7" ref="A120:M122">
  <tableColumns count="13">
    <tableColumn id="1" xr3:uid="{00000000-0010-0000-0B00-000001000000}" name="CommunicationID"/>
    <tableColumn id="2" xr3:uid="{00000000-0010-0000-0B00-000002000000}" name="Date"/>
    <tableColumn id="3" xr3:uid="{00000000-0010-0000-0B00-000003000000}" name="Subject"/>
    <tableColumn id="4" xr3:uid="{00000000-0010-0000-0B00-000004000000}" name="People"/>
    <tableColumn id="5" xr3:uid="{00000000-0010-0000-0B00-000005000000}" name="Responsible"/>
    <tableColumn id="6" xr3:uid="{00000000-0010-0000-0B00-000006000000}" name="DueDate"/>
    <tableColumn id="7" xr3:uid="{00000000-0010-0000-0B00-000007000000}" name="Status"/>
    <tableColumn id="8" xr3:uid="{00000000-0010-0000-0B00-000008000000}" name="Summary"/>
    <tableColumn id="9" xr3:uid="{00000000-0010-0000-0B00-000009000000}" name="LinkedTaskID"/>
    <tableColumn id="10" xr3:uid="{00000000-0010-0000-0B00-00000A000000}" name="LinkedAction"/>
    <tableColumn id="11" xr3:uid="{00000000-0010-0000-0B00-00000B000000}" name="SourceType"/>
    <tableColumn id="12" xr3:uid="{00000000-0010-0000-0B00-00000C000000}" name="SourceLink"/>
    <tableColumn id="13" xr3:uid="{00000000-0010-0000-0B00-00000D000000}" name="Display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Critical_Caffeine_8" displayName="Critical_Caffeine_8" ref="A125:G126">
  <tableColumns count="7">
    <tableColumn id="1" xr3:uid="{00000000-0010-0000-0C00-000001000000}" name="CriticalItem"/>
    <tableColumn id="2" xr3:uid="{00000000-0010-0000-0C00-000002000000}" name="Severity"/>
    <tableColumn id="3" xr3:uid="{00000000-0010-0000-0C00-000003000000}" name="Owner"/>
    <tableColumn id="4" xr3:uid="{00000000-0010-0000-0C00-000004000000}" name="DueDate"/>
    <tableColumn id="5" xr3:uid="{00000000-0010-0000-0C00-000005000000}" name="Status"/>
    <tableColumn id="6" xr3:uid="{00000000-0010-0000-0C00-000006000000}" name="Notes"/>
    <tableColumn id="7" xr3:uid="{00000000-0010-0000-0C00-000007000000}" name="Display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xecutive_DMARDsRA_1" displayName="Executive_DMARDsRA_1" ref="A4:D20">
  <tableColumns count="4">
    <tableColumn id="1" xr3:uid="{00000000-0010-0000-0D00-000001000000}" name="Card Field"/>
    <tableColumn id="2" xr3:uid="{00000000-0010-0000-0D00-000002000000}" name="Value"/>
    <tableColumn id="3" xr3:uid="{00000000-0010-0000-0D00-000003000000}" name="Display"/>
    <tableColumn id="4" xr3:uid="{00000000-0010-0000-0D00-000004000000}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Milestones_DMARDsRA_2" displayName="Milestones_DMARDsRA_2" ref="A23:F29">
  <tableColumns count="6">
    <tableColumn id="1" xr3:uid="{00000000-0010-0000-0E00-000001000000}" name="Milestone"/>
    <tableColumn id="2" xr3:uid="{00000000-0010-0000-0E00-000002000000}" name="Status"/>
    <tableColumn id="3" xr3:uid="{00000000-0010-0000-0E00-000003000000}" name="Owner"/>
    <tableColumn id="4" xr3:uid="{00000000-0010-0000-0E00-000004000000}" name="TargetDate"/>
    <tableColumn id="5" xr3:uid="{00000000-0010-0000-0E00-000005000000}" name="Notes"/>
    <tableColumn id="6" xr3:uid="{00000000-0010-0000-0E00-000006000000}" name="Displa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Files_DMARDsRA_3" displayName="Files_DMARDsRA_3" ref="A32:G38">
  <tableColumns count="7">
    <tableColumn id="1" xr3:uid="{00000000-0010-0000-0F00-000001000000}" name="FileType"/>
    <tableColumn id="2" xr3:uid="{00000000-0010-0000-0F00-000002000000}" name="Ready"/>
    <tableColumn id="3" xr3:uid="{00000000-0010-0000-0F00-000003000000}" name="Status"/>
    <tableColumn id="4" xr3:uid="{00000000-0010-0000-0F00-000004000000}" name="Owner"/>
    <tableColumn id="5" xr3:uid="{00000000-0010-0000-0F00-000005000000}" name="DueDate"/>
    <tableColumn id="6" xr3:uid="{00000000-0010-0000-0F00-000006000000}" name="Notes"/>
    <tableColumn id="7" xr3:uid="{00000000-0010-0000-0F00-000007000000}" name="Display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tages_DMARDsRA_4" displayName="Stages_DMARDsRA_4" ref="A41:H45">
  <tableColumns count="8">
    <tableColumn id="1" xr3:uid="{00000000-0010-0000-1000-000001000000}" name="StageName"/>
    <tableColumn id="2" xr3:uid="{00000000-0010-0000-1000-000002000000}" name="HumanProgress"/>
    <tableColumn id="3" xr3:uid="{00000000-0010-0000-1000-000003000000}" name="AIProgress"/>
    <tableColumn id="4" xr3:uid="{00000000-0010-0000-1000-000004000000}" name="Status"/>
    <tableColumn id="5" xr3:uid="{00000000-0010-0000-1000-000005000000}" name="Owner"/>
    <tableColumn id="6" xr3:uid="{00000000-0010-0000-1000-000006000000}" name="TargetDate"/>
    <tableColumn id="7" xr3:uid="{00000000-0010-0000-1000-000007000000}" name="Notes"/>
    <tableColumn id="8" xr3:uid="{00000000-0010-0000-1000-000008000000}" name="Display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Workflow_DMARDsRA_5" displayName="Workflow_DMARDsRA_5" ref="A48:J111">
  <tableColumns count="10">
    <tableColumn id="1" xr3:uid="{00000000-0010-0000-1100-000001000000}" name="ActionOrder"/>
    <tableColumn id="2" xr3:uid="{00000000-0010-0000-1100-000002000000}" name="WorkflowStepID"/>
    <tableColumn id="3" xr3:uid="{00000000-0010-0000-1100-000003000000}" name="WorkflowGroup"/>
    <tableColumn id="4" xr3:uid="{00000000-0010-0000-1100-000004000000}" name="Activity"/>
    <tableColumn id="5" xr3:uid="{00000000-0010-0000-1100-000005000000}" name="Responsible"/>
    <tableColumn id="6" xr3:uid="{00000000-0010-0000-1100-000006000000}" name="Status"/>
    <tableColumn id="7" xr3:uid="{00000000-0010-0000-1100-000007000000}" name="Owner"/>
    <tableColumn id="8" xr3:uid="{00000000-0010-0000-1100-000008000000}" name="DueDate"/>
    <tableColumn id="9" xr3:uid="{00000000-0010-0000-1100-000009000000}" name="Notes"/>
    <tableColumn id="10" xr3:uid="{00000000-0010-0000-1100-00000A000000}" name="Display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sks_DMARDsRA_6" displayName="Tasks_DMARDsRA_6" ref="A114:K116">
  <tableColumns count="11">
    <tableColumn id="1" xr3:uid="{00000000-0010-0000-1200-000001000000}" name="TaskID"/>
    <tableColumn id="2" xr3:uid="{00000000-0010-0000-1200-000002000000}" name="Task"/>
    <tableColumn id="3" xr3:uid="{00000000-0010-0000-1200-000003000000}" name="Owner"/>
    <tableColumn id="4" xr3:uid="{00000000-0010-0000-1200-000004000000}" name="Status"/>
    <tableColumn id="5" xr3:uid="{00000000-0010-0000-1200-000005000000}" name="Risk"/>
    <tableColumn id="6" xr3:uid="{00000000-0010-0000-1200-000006000000}" name="DueDate"/>
    <tableColumn id="7" xr3:uid="{00000000-0010-0000-1200-000007000000}" name="Dependency"/>
    <tableColumn id="8" xr3:uid="{00000000-0010-0000-1200-000008000000}" name="Communication"/>
    <tableColumn id="9" xr3:uid="{00000000-0010-0000-1200-000009000000}" name="Source"/>
    <tableColumn id="10" xr3:uid="{00000000-0010-0000-1200-00000A000000}" name="SourceDate"/>
    <tableColumn id="11" xr3:uid="{00000000-0010-0000-1200-00000B000000}" name="Display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Comms_DMARDsRA_7" displayName="Comms_DMARDsRA_7" ref="A119:M120">
  <tableColumns count="13">
    <tableColumn id="1" xr3:uid="{00000000-0010-0000-1300-000001000000}" name="CommunicationID"/>
    <tableColumn id="2" xr3:uid="{00000000-0010-0000-1300-000002000000}" name="Date"/>
    <tableColumn id="3" xr3:uid="{00000000-0010-0000-1300-000003000000}" name="Subject"/>
    <tableColumn id="4" xr3:uid="{00000000-0010-0000-1300-000004000000}" name="People"/>
    <tableColumn id="5" xr3:uid="{00000000-0010-0000-1300-000005000000}" name="Responsible"/>
    <tableColumn id="6" xr3:uid="{00000000-0010-0000-1300-000006000000}" name="DueDate"/>
    <tableColumn id="7" xr3:uid="{00000000-0010-0000-1300-000007000000}" name="Status"/>
    <tableColumn id="8" xr3:uid="{00000000-0010-0000-1300-000008000000}" name="Summary"/>
    <tableColumn id="9" xr3:uid="{00000000-0010-0000-1300-000009000000}" name="LinkedTaskID"/>
    <tableColumn id="10" xr3:uid="{00000000-0010-0000-1300-00000A000000}" name="LinkedAction"/>
    <tableColumn id="11" xr3:uid="{00000000-0010-0000-1300-00000B000000}" name="SourceType"/>
    <tableColumn id="12" xr3:uid="{00000000-0010-0000-1300-00000C000000}" name="SourceLink"/>
    <tableColumn id="13" xr3:uid="{00000000-0010-0000-1300-00000D000000}" name="Displa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Critical_DMARDsRA_8" displayName="Critical_DMARDsRA_8" ref="A123:G124">
  <tableColumns count="7">
    <tableColumn id="1" xr3:uid="{00000000-0010-0000-1400-000001000000}" name="CriticalItem"/>
    <tableColumn id="2" xr3:uid="{00000000-0010-0000-1400-000002000000}" name="Severity"/>
    <tableColumn id="3" xr3:uid="{00000000-0010-0000-1400-000003000000}" name="Owner"/>
    <tableColumn id="4" xr3:uid="{00000000-0010-0000-1400-000004000000}" name="DueDate"/>
    <tableColumn id="5" xr3:uid="{00000000-0010-0000-1400-000005000000}" name="Status"/>
    <tableColumn id="6" xr3:uid="{00000000-0010-0000-1400-000006000000}" name="Notes"/>
    <tableColumn id="7" xr3:uid="{00000000-0010-0000-1400-000007000000}" name="Display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Executive_BPTargets_1" displayName="Executive_BPTargets_1" ref="A4:D20">
  <tableColumns count="4">
    <tableColumn id="1" xr3:uid="{00000000-0010-0000-1500-000001000000}" name="Card Field"/>
    <tableColumn id="2" xr3:uid="{00000000-0010-0000-1500-000002000000}" name="Value"/>
    <tableColumn id="3" xr3:uid="{00000000-0010-0000-1500-000003000000}" name="Display"/>
    <tableColumn id="4" xr3:uid="{00000000-0010-0000-1500-000004000000}" name="Notes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Milestones_BPTargets_2" displayName="Milestones_BPTargets_2" ref="A23:F29">
  <tableColumns count="6">
    <tableColumn id="1" xr3:uid="{00000000-0010-0000-1600-000001000000}" name="Milestone"/>
    <tableColumn id="2" xr3:uid="{00000000-0010-0000-1600-000002000000}" name="Status"/>
    <tableColumn id="3" xr3:uid="{00000000-0010-0000-1600-000003000000}" name="Owner"/>
    <tableColumn id="4" xr3:uid="{00000000-0010-0000-1600-000004000000}" name="TargetDate"/>
    <tableColumn id="5" xr3:uid="{00000000-0010-0000-1600-000005000000}" name="Notes"/>
    <tableColumn id="6" xr3:uid="{00000000-0010-0000-1600-000006000000}" name="Display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Files_BPTargets_3" displayName="Files_BPTargets_3" ref="A32:G38">
  <tableColumns count="7">
    <tableColumn id="1" xr3:uid="{00000000-0010-0000-1700-000001000000}" name="FileType"/>
    <tableColumn id="2" xr3:uid="{00000000-0010-0000-1700-000002000000}" name="Ready"/>
    <tableColumn id="3" xr3:uid="{00000000-0010-0000-1700-000003000000}" name="Status"/>
    <tableColumn id="4" xr3:uid="{00000000-0010-0000-1700-000004000000}" name="Owner"/>
    <tableColumn id="5" xr3:uid="{00000000-0010-0000-1700-000005000000}" name="DueDate"/>
    <tableColumn id="6" xr3:uid="{00000000-0010-0000-1700-000006000000}" name="Notes"/>
    <tableColumn id="7" xr3:uid="{00000000-0010-0000-1700-000007000000}" name="Display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Stages_BPTargets_4" displayName="Stages_BPTargets_4" ref="A41:H45">
  <tableColumns count="8">
    <tableColumn id="1" xr3:uid="{00000000-0010-0000-1800-000001000000}" name="StageName"/>
    <tableColumn id="2" xr3:uid="{00000000-0010-0000-1800-000002000000}" name="HumanProgress"/>
    <tableColumn id="3" xr3:uid="{00000000-0010-0000-1800-000003000000}" name="AIProgress"/>
    <tableColumn id="4" xr3:uid="{00000000-0010-0000-1800-000004000000}" name="Status"/>
    <tableColumn id="5" xr3:uid="{00000000-0010-0000-1800-000005000000}" name="Owner"/>
    <tableColumn id="6" xr3:uid="{00000000-0010-0000-1800-000006000000}" name="TargetDate"/>
    <tableColumn id="7" xr3:uid="{00000000-0010-0000-1800-000007000000}" name="Notes"/>
    <tableColumn id="8" xr3:uid="{00000000-0010-0000-1800-000008000000}" name="Display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Workflow_BPTargets_5" displayName="Workflow_BPTargets_5" ref="A48:J111">
  <tableColumns count="10">
    <tableColumn id="1" xr3:uid="{00000000-0010-0000-1900-000001000000}" name="ActionOrder"/>
    <tableColumn id="2" xr3:uid="{00000000-0010-0000-1900-000002000000}" name="WorkflowStepID"/>
    <tableColumn id="3" xr3:uid="{00000000-0010-0000-1900-000003000000}" name="WorkflowGroup"/>
    <tableColumn id="4" xr3:uid="{00000000-0010-0000-1900-000004000000}" name="Activity"/>
    <tableColumn id="5" xr3:uid="{00000000-0010-0000-1900-000005000000}" name="Responsible"/>
    <tableColumn id="6" xr3:uid="{00000000-0010-0000-1900-000006000000}" name="Status"/>
    <tableColumn id="7" xr3:uid="{00000000-0010-0000-1900-000007000000}" name="Owner"/>
    <tableColumn id="8" xr3:uid="{00000000-0010-0000-1900-000008000000}" name="DueDate"/>
    <tableColumn id="9" xr3:uid="{00000000-0010-0000-1900-000009000000}" name="Notes"/>
    <tableColumn id="10" xr3:uid="{00000000-0010-0000-1900-00000A000000}" name="Display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asks_BPTargets_6" displayName="Tasks_BPTargets_6" ref="A114:K118">
  <tableColumns count="11">
    <tableColumn id="1" xr3:uid="{00000000-0010-0000-1A00-000001000000}" name="TaskID"/>
    <tableColumn id="2" xr3:uid="{00000000-0010-0000-1A00-000002000000}" name="Task"/>
    <tableColumn id="3" xr3:uid="{00000000-0010-0000-1A00-000003000000}" name="Owner"/>
    <tableColumn id="4" xr3:uid="{00000000-0010-0000-1A00-000004000000}" name="Status"/>
    <tableColumn id="5" xr3:uid="{00000000-0010-0000-1A00-000005000000}" name="Risk"/>
    <tableColumn id="6" xr3:uid="{00000000-0010-0000-1A00-000006000000}" name="DueDate"/>
    <tableColumn id="7" xr3:uid="{00000000-0010-0000-1A00-000007000000}" name="Dependency"/>
    <tableColumn id="8" xr3:uid="{00000000-0010-0000-1A00-000008000000}" name="Communication"/>
    <tableColumn id="9" xr3:uid="{00000000-0010-0000-1A00-000009000000}" name="Source"/>
    <tableColumn id="10" xr3:uid="{00000000-0010-0000-1A00-00000A000000}" name="SourceDate"/>
    <tableColumn id="11" xr3:uid="{00000000-0010-0000-1A00-00000B000000}" name="Display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Comms_BPTargets_7" displayName="Comms_BPTargets_7" ref="A121:M124">
  <tableColumns count="13">
    <tableColumn id="1" xr3:uid="{00000000-0010-0000-1B00-000001000000}" name="CommunicationID"/>
    <tableColumn id="2" xr3:uid="{00000000-0010-0000-1B00-000002000000}" name="Date"/>
    <tableColumn id="3" xr3:uid="{00000000-0010-0000-1B00-000003000000}" name="Subject"/>
    <tableColumn id="4" xr3:uid="{00000000-0010-0000-1B00-000004000000}" name="People"/>
    <tableColumn id="5" xr3:uid="{00000000-0010-0000-1B00-000005000000}" name="Responsible"/>
    <tableColumn id="6" xr3:uid="{00000000-0010-0000-1B00-000006000000}" name="DueDate"/>
    <tableColumn id="7" xr3:uid="{00000000-0010-0000-1B00-000007000000}" name="Status"/>
    <tableColumn id="8" xr3:uid="{00000000-0010-0000-1B00-000008000000}" name="Summary"/>
    <tableColumn id="9" xr3:uid="{00000000-0010-0000-1B00-000009000000}" name="LinkedTaskID"/>
    <tableColumn id="10" xr3:uid="{00000000-0010-0000-1B00-00000A000000}" name="LinkedAction"/>
    <tableColumn id="11" xr3:uid="{00000000-0010-0000-1B00-00000B000000}" name="SourceType"/>
    <tableColumn id="12" xr3:uid="{00000000-0010-0000-1B00-00000C000000}" name="SourceLink"/>
    <tableColumn id="13" xr3:uid="{00000000-0010-0000-1B00-00000D000000}" name="Display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Critical_BPTargets_8" displayName="Critical_BPTargets_8" ref="A127:G128">
  <tableColumns count="7">
    <tableColumn id="1" xr3:uid="{00000000-0010-0000-1C00-000001000000}" name="CriticalItem"/>
    <tableColumn id="2" xr3:uid="{00000000-0010-0000-1C00-000002000000}" name="Severity"/>
    <tableColumn id="3" xr3:uid="{00000000-0010-0000-1C00-000003000000}" name="Owner"/>
    <tableColumn id="4" xr3:uid="{00000000-0010-0000-1C00-000004000000}" name="DueDate"/>
    <tableColumn id="5" xr3:uid="{00000000-0010-0000-1C00-000005000000}" name="Status"/>
    <tableColumn id="6" xr3:uid="{00000000-0010-0000-1C00-000006000000}" name="Notes"/>
    <tableColumn id="7" xr3:uid="{00000000-0010-0000-1C00-000007000000}" name="Display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Executive_Psoriasis_1" displayName="Executive_Psoriasis_1" ref="A4:D20">
  <tableColumns count="4">
    <tableColumn id="1" xr3:uid="{00000000-0010-0000-1D00-000001000000}" name="Card Field"/>
    <tableColumn id="2" xr3:uid="{00000000-0010-0000-1D00-000002000000}" name="Value"/>
    <tableColumn id="3" xr3:uid="{00000000-0010-0000-1D00-000003000000}" name="Display"/>
    <tableColumn id="4" xr3:uid="{00000000-0010-0000-1D00-000004000000}" name="Notes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Milestones_Psoriasis_2" displayName="Milestones_Psoriasis_2" ref="A23:F29">
  <tableColumns count="6">
    <tableColumn id="1" xr3:uid="{00000000-0010-0000-1E00-000001000000}" name="Milestone"/>
    <tableColumn id="2" xr3:uid="{00000000-0010-0000-1E00-000002000000}" name="Status"/>
    <tableColumn id="3" xr3:uid="{00000000-0010-0000-1E00-000003000000}" name="Owner"/>
    <tableColumn id="4" xr3:uid="{00000000-0010-0000-1E00-000004000000}" name="TargetDate"/>
    <tableColumn id="5" xr3:uid="{00000000-0010-0000-1E00-000005000000}" name="Notes"/>
    <tableColumn id="6" xr3:uid="{00000000-0010-0000-1E00-000006000000}" name="Display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Files_Psoriasis_3" displayName="Files_Psoriasis_3" ref="A32:G38">
  <tableColumns count="7">
    <tableColumn id="1" xr3:uid="{00000000-0010-0000-1F00-000001000000}" name="FileType"/>
    <tableColumn id="2" xr3:uid="{00000000-0010-0000-1F00-000002000000}" name="Ready"/>
    <tableColumn id="3" xr3:uid="{00000000-0010-0000-1F00-000003000000}" name="Status"/>
    <tableColumn id="4" xr3:uid="{00000000-0010-0000-1F00-000004000000}" name="Owner"/>
    <tableColumn id="5" xr3:uid="{00000000-0010-0000-1F00-000005000000}" name="DueDate"/>
    <tableColumn id="6" xr3:uid="{00000000-0010-0000-1F00-000006000000}" name="Notes"/>
    <tableColumn id="7" xr3:uid="{00000000-0010-0000-1F00-000007000000}" name="Display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Stages_Psoriasis_4" displayName="Stages_Psoriasis_4" ref="A41:H45">
  <tableColumns count="8">
    <tableColumn id="1" xr3:uid="{00000000-0010-0000-2000-000001000000}" name="StageName"/>
    <tableColumn id="2" xr3:uid="{00000000-0010-0000-2000-000002000000}" name="HumanProgress"/>
    <tableColumn id="3" xr3:uid="{00000000-0010-0000-2000-000003000000}" name="AIProgress"/>
    <tableColumn id="4" xr3:uid="{00000000-0010-0000-2000-000004000000}" name="Status"/>
    <tableColumn id="5" xr3:uid="{00000000-0010-0000-2000-000005000000}" name="Owner"/>
    <tableColumn id="6" xr3:uid="{00000000-0010-0000-2000-000006000000}" name="TargetDate"/>
    <tableColumn id="7" xr3:uid="{00000000-0010-0000-2000-000007000000}" name="Notes"/>
    <tableColumn id="8" xr3:uid="{00000000-0010-0000-2000-000008000000}" name="Display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Workflow_Psoriasis_5" displayName="Workflow_Psoriasis_5" ref="A48:J111">
  <tableColumns count="10">
    <tableColumn id="1" xr3:uid="{00000000-0010-0000-2100-000001000000}" name="ActionOrder"/>
    <tableColumn id="2" xr3:uid="{00000000-0010-0000-2100-000002000000}" name="WorkflowStepID"/>
    <tableColumn id="3" xr3:uid="{00000000-0010-0000-2100-000003000000}" name="WorkflowGroup"/>
    <tableColumn id="4" xr3:uid="{00000000-0010-0000-2100-000004000000}" name="Activity"/>
    <tableColumn id="5" xr3:uid="{00000000-0010-0000-2100-000005000000}" name="Responsible"/>
    <tableColumn id="6" xr3:uid="{00000000-0010-0000-2100-000006000000}" name="Status"/>
    <tableColumn id="7" xr3:uid="{00000000-0010-0000-2100-000007000000}" name="Owner"/>
    <tableColumn id="8" xr3:uid="{00000000-0010-0000-2100-000008000000}" name="DueDate"/>
    <tableColumn id="9" xr3:uid="{00000000-0010-0000-2100-000009000000}" name="Notes"/>
    <tableColumn id="10" xr3:uid="{00000000-0010-0000-2100-00000A000000}" name="Display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Tasks_Psoriasis_6" displayName="Tasks_Psoriasis_6" ref="A114:K118">
  <tableColumns count="11">
    <tableColumn id="1" xr3:uid="{00000000-0010-0000-2200-000001000000}" name="TaskID"/>
    <tableColumn id="2" xr3:uid="{00000000-0010-0000-2200-000002000000}" name="Task"/>
    <tableColumn id="3" xr3:uid="{00000000-0010-0000-2200-000003000000}" name="Owner"/>
    <tableColumn id="4" xr3:uid="{00000000-0010-0000-2200-000004000000}" name="Status"/>
    <tableColumn id="5" xr3:uid="{00000000-0010-0000-2200-000005000000}" name="Risk"/>
    <tableColumn id="6" xr3:uid="{00000000-0010-0000-2200-000006000000}" name="DueDate"/>
    <tableColumn id="7" xr3:uid="{00000000-0010-0000-2200-000007000000}" name="Dependency"/>
    <tableColumn id="8" xr3:uid="{00000000-0010-0000-2200-000008000000}" name="Communication"/>
    <tableColumn id="9" xr3:uid="{00000000-0010-0000-2200-000009000000}" name="Source"/>
    <tableColumn id="10" xr3:uid="{00000000-0010-0000-2200-00000A000000}" name="SourceDate"/>
    <tableColumn id="11" xr3:uid="{00000000-0010-0000-2200-00000B000000}" name="Display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Comms_Psoriasis_7" displayName="Comms_Psoriasis_7" ref="A121:M124">
  <tableColumns count="13">
    <tableColumn id="1" xr3:uid="{00000000-0010-0000-2300-000001000000}" name="CommunicationID"/>
    <tableColumn id="2" xr3:uid="{00000000-0010-0000-2300-000002000000}" name="Date"/>
    <tableColumn id="3" xr3:uid="{00000000-0010-0000-2300-000003000000}" name="Subject"/>
    <tableColumn id="4" xr3:uid="{00000000-0010-0000-2300-000004000000}" name="People"/>
    <tableColumn id="5" xr3:uid="{00000000-0010-0000-2300-000005000000}" name="Responsible"/>
    <tableColumn id="6" xr3:uid="{00000000-0010-0000-2300-000006000000}" name="DueDate"/>
    <tableColumn id="7" xr3:uid="{00000000-0010-0000-2300-000007000000}" name="Status"/>
    <tableColumn id="8" xr3:uid="{00000000-0010-0000-2300-000008000000}" name="Summary"/>
    <tableColumn id="9" xr3:uid="{00000000-0010-0000-2300-000009000000}" name="LinkedTaskID"/>
    <tableColumn id="10" xr3:uid="{00000000-0010-0000-2300-00000A000000}" name="LinkedAction"/>
    <tableColumn id="11" xr3:uid="{00000000-0010-0000-2300-00000B000000}" name="SourceType"/>
    <tableColumn id="12" xr3:uid="{00000000-0010-0000-2300-00000C000000}" name="SourceLink"/>
    <tableColumn id="13" xr3:uid="{00000000-0010-0000-2300-00000D000000}" name="Display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Critical_Psoriasis_8" displayName="Critical_Psoriasis_8" ref="A127:G129">
  <tableColumns count="7">
    <tableColumn id="1" xr3:uid="{00000000-0010-0000-2400-000001000000}" name="CriticalItem"/>
    <tableColumn id="2" xr3:uid="{00000000-0010-0000-2400-000002000000}" name="Severity"/>
    <tableColumn id="3" xr3:uid="{00000000-0010-0000-2400-000003000000}" name="Owner"/>
    <tableColumn id="4" xr3:uid="{00000000-0010-0000-2400-000004000000}" name="DueDate"/>
    <tableColumn id="5" xr3:uid="{00000000-0010-0000-2400-000005000000}" name="Status"/>
    <tableColumn id="6" xr3:uid="{00000000-0010-0000-2400-000006000000}" name="Notes"/>
    <tableColumn id="7" xr3:uid="{00000000-0010-0000-2400-000007000000}" name="Display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Executive_FruitVeg_1" displayName="Executive_FruitVeg_1" ref="A4:D20">
  <tableColumns count="4">
    <tableColumn id="1" xr3:uid="{00000000-0010-0000-2500-000001000000}" name="Card Field"/>
    <tableColumn id="2" xr3:uid="{00000000-0010-0000-2500-000002000000}" name="Value"/>
    <tableColumn id="3" xr3:uid="{00000000-0010-0000-2500-000003000000}" name="Display"/>
    <tableColumn id="4" xr3:uid="{00000000-0010-0000-2500-000004000000}" name="Notes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Milestones_FruitVeg_2" displayName="Milestones_FruitVeg_2" ref="A23:F29">
  <tableColumns count="6">
    <tableColumn id="1" xr3:uid="{00000000-0010-0000-2600-000001000000}" name="Milestone"/>
    <tableColumn id="2" xr3:uid="{00000000-0010-0000-2600-000002000000}" name="Status"/>
    <tableColumn id="3" xr3:uid="{00000000-0010-0000-2600-000003000000}" name="Owner"/>
    <tableColumn id="4" xr3:uid="{00000000-0010-0000-2600-000004000000}" name="TargetDate"/>
    <tableColumn id="5" xr3:uid="{00000000-0010-0000-2600-000005000000}" name="Notes"/>
    <tableColumn id="6" xr3:uid="{00000000-0010-0000-2600-000006000000}" name="Display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Files_FruitVeg_3" displayName="Files_FruitVeg_3" ref="A32:G38">
  <tableColumns count="7">
    <tableColumn id="1" xr3:uid="{00000000-0010-0000-2700-000001000000}" name="FileType"/>
    <tableColumn id="2" xr3:uid="{00000000-0010-0000-2700-000002000000}" name="Ready"/>
    <tableColumn id="3" xr3:uid="{00000000-0010-0000-2700-000003000000}" name="Status"/>
    <tableColumn id="4" xr3:uid="{00000000-0010-0000-2700-000004000000}" name="Owner"/>
    <tableColumn id="5" xr3:uid="{00000000-0010-0000-2700-000005000000}" name="DueDate"/>
    <tableColumn id="6" xr3:uid="{00000000-0010-0000-2700-000006000000}" name="Notes"/>
    <tableColumn id="7" xr3:uid="{00000000-0010-0000-2700-000007000000}" name="Display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Stages_FruitVeg_4" displayName="Stages_FruitVeg_4" ref="A41:H45">
  <tableColumns count="8">
    <tableColumn id="1" xr3:uid="{00000000-0010-0000-2800-000001000000}" name="StageName"/>
    <tableColumn id="2" xr3:uid="{00000000-0010-0000-2800-000002000000}" name="HumanProgress"/>
    <tableColumn id="3" xr3:uid="{00000000-0010-0000-2800-000003000000}" name="AIProgress"/>
    <tableColumn id="4" xr3:uid="{00000000-0010-0000-2800-000004000000}" name="Status"/>
    <tableColumn id="5" xr3:uid="{00000000-0010-0000-2800-000005000000}" name="Owner"/>
    <tableColumn id="6" xr3:uid="{00000000-0010-0000-2800-000006000000}" name="TargetDate"/>
    <tableColumn id="7" xr3:uid="{00000000-0010-0000-2800-000007000000}" name="Notes"/>
    <tableColumn id="8" xr3:uid="{00000000-0010-0000-2800-000008000000}" name="Display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Workflow_FruitVeg_5" displayName="Workflow_FruitVeg_5" ref="A48:J111">
  <tableColumns count="10">
    <tableColumn id="1" xr3:uid="{00000000-0010-0000-2900-000001000000}" name="ActionOrder"/>
    <tableColumn id="2" xr3:uid="{00000000-0010-0000-2900-000002000000}" name="WorkflowStepID"/>
    <tableColumn id="3" xr3:uid="{00000000-0010-0000-2900-000003000000}" name="WorkflowGroup"/>
    <tableColumn id="4" xr3:uid="{00000000-0010-0000-2900-000004000000}" name="Activity"/>
    <tableColumn id="5" xr3:uid="{00000000-0010-0000-2900-000005000000}" name="Responsible"/>
    <tableColumn id="6" xr3:uid="{00000000-0010-0000-2900-000006000000}" name="Status"/>
    <tableColumn id="7" xr3:uid="{00000000-0010-0000-2900-000007000000}" name="Owner"/>
    <tableColumn id="8" xr3:uid="{00000000-0010-0000-2900-000008000000}" name="DueDate"/>
    <tableColumn id="9" xr3:uid="{00000000-0010-0000-2900-000009000000}" name="Notes"/>
    <tableColumn id="10" xr3:uid="{00000000-0010-0000-2900-00000A000000}" name="Display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Tasks_FruitVeg_6" displayName="Tasks_FruitVeg_6" ref="A114:K118">
  <tableColumns count="11">
    <tableColumn id="1" xr3:uid="{00000000-0010-0000-2A00-000001000000}" name="TaskID"/>
    <tableColumn id="2" xr3:uid="{00000000-0010-0000-2A00-000002000000}" name="Task"/>
    <tableColumn id="3" xr3:uid="{00000000-0010-0000-2A00-000003000000}" name="Owner"/>
    <tableColumn id="4" xr3:uid="{00000000-0010-0000-2A00-000004000000}" name="Status"/>
    <tableColumn id="5" xr3:uid="{00000000-0010-0000-2A00-000005000000}" name="Risk"/>
    <tableColumn id="6" xr3:uid="{00000000-0010-0000-2A00-000006000000}" name="DueDate"/>
    <tableColumn id="7" xr3:uid="{00000000-0010-0000-2A00-000007000000}" name="Dependency"/>
    <tableColumn id="8" xr3:uid="{00000000-0010-0000-2A00-000008000000}" name="Communication"/>
    <tableColumn id="9" xr3:uid="{00000000-0010-0000-2A00-000009000000}" name="Source"/>
    <tableColumn id="10" xr3:uid="{00000000-0010-0000-2A00-00000A000000}" name="SourceDate"/>
    <tableColumn id="11" xr3:uid="{00000000-0010-0000-2A00-00000B000000}" name="Display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Comms_FruitVeg_7" displayName="Comms_FruitVeg_7" ref="A121:M123">
  <tableColumns count="13">
    <tableColumn id="1" xr3:uid="{00000000-0010-0000-2B00-000001000000}" name="CommunicationID"/>
    <tableColumn id="2" xr3:uid="{00000000-0010-0000-2B00-000002000000}" name="Date"/>
    <tableColumn id="3" xr3:uid="{00000000-0010-0000-2B00-000003000000}" name="Subject"/>
    <tableColumn id="4" xr3:uid="{00000000-0010-0000-2B00-000004000000}" name="People"/>
    <tableColumn id="5" xr3:uid="{00000000-0010-0000-2B00-000005000000}" name="Responsible"/>
    <tableColumn id="6" xr3:uid="{00000000-0010-0000-2B00-000006000000}" name="DueDate"/>
    <tableColumn id="7" xr3:uid="{00000000-0010-0000-2B00-000007000000}" name="Status"/>
    <tableColumn id="8" xr3:uid="{00000000-0010-0000-2B00-000008000000}" name="Summary"/>
    <tableColumn id="9" xr3:uid="{00000000-0010-0000-2B00-000009000000}" name="LinkedTaskID"/>
    <tableColumn id="10" xr3:uid="{00000000-0010-0000-2B00-00000A000000}" name="LinkedAction"/>
    <tableColumn id="11" xr3:uid="{00000000-0010-0000-2B00-00000B000000}" name="SourceType"/>
    <tableColumn id="12" xr3:uid="{00000000-0010-0000-2B00-00000C000000}" name="SourceLink"/>
    <tableColumn id="13" xr3:uid="{00000000-0010-0000-2B00-00000D000000}" name="Display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Critical_FruitVeg_8" displayName="Critical_FruitVeg_8" ref="A126:G128">
  <tableColumns count="7">
    <tableColumn id="1" xr3:uid="{00000000-0010-0000-2C00-000001000000}" name="CriticalItem"/>
    <tableColumn id="2" xr3:uid="{00000000-0010-0000-2C00-000002000000}" name="Severity"/>
    <tableColumn id="3" xr3:uid="{00000000-0010-0000-2C00-000003000000}" name="Owner"/>
    <tableColumn id="4" xr3:uid="{00000000-0010-0000-2C00-000004000000}" name="DueDate"/>
    <tableColumn id="5" xr3:uid="{00000000-0010-0000-2C00-000005000000}" name="Status"/>
    <tableColumn id="6" xr3:uid="{00000000-0010-0000-2C00-000006000000}" name="Notes"/>
    <tableColumn id="7" xr3:uid="{00000000-0010-0000-2C00-000007000000}" name="Display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Executive_Chlamydia_1" displayName="Executive_Chlamydia_1" ref="A4:D20">
  <tableColumns count="4">
    <tableColumn id="1" xr3:uid="{00000000-0010-0000-2D00-000001000000}" name="Card Field"/>
    <tableColumn id="2" xr3:uid="{00000000-0010-0000-2D00-000002000000}" name="Value"/>
    <tableColumn id="3" xr3:uid="{00000000-0010-0000-2D00-000003000000}" name="Display"/>
    <tableColumn id="4" xr3:uid="{00000000-0010-0000-2D00-000004000000}" name="Notes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Milestones_Chlamydia_2" displayName="Milestones_Chlamydia_2" ref="A23:F29">
  <tableColumns count="6">
    <tableColumn id="1" xr3:uid="{00000000-0010-0000-2E00-000001000000}" name="Milestone"/>
    <tableColumn id="2" xr3:uid="{00000000-0010-0000-2E00-000002000000}" name="Status"/>
    <tableColumn id="3" xr3:uid="{00000000-0010-0000-2E00-000003000000}" name="Owner"/>
    <tableColumn id="4" xr3:uid="{00000000-0010-0000-2E00-000004000000}" name="TargetDate"/>
    <tableColumn id="5" xr3:uid="{00000000-0010-0000-2E00-000005000000}" name="Notes"/>
    <tableColumn id="6" xr3:uid="{00000000-0010-0000-2E00-000006000000}" name="Display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Files_Chlamydia_3" displayName="Files_Chlamydia_3" ref="A32:G38">
  <tableColumns count="7">
    <tableColumn id="1" xr3:uid="{00000000-0010-0000-2F00-000001000000}" name="FileType"/>
    <tableColumn id="2" xr3:uid="{00000000-0010-0000-2F00-000002000000}" name="Ready"/>
    <tableColumn id="3" xr3:uid="{00000000-0010-0000-2F00-000003000000}" name="Status"/>
    <tableColumn id="4" xr3:uid="{00000000-0010-0000-2F00-000004000000}" name="Owner"/>
    <tableColumn id="5" xr3:uid="{00000000-0010-0000-2F00-000005000000}" name="DueDate"/>
    <tableColumn id="6" xr3:uid="{00000000-0010-0000-2F00-000006000000}" name="Notes"/>
    <tableColumn id="7" xr3:uid="{00000000-0010-0000-2F00-000007000000}" name="Display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Stages_Chlamydia_4" displayName="Stages_Chlamydia_4" ref="A41:H45">
  <tableColumns count="8">
    <tableColumn id="1" xr3:uid="{00000000-0010-0000-3000-000001000000}" name="StageName"/>
    <tableColumn id="2" xr3:uid="{00000000-0010-0000-3000-000002000000}" name="HumanProgress"/>
    <tableColumn id="3" xr3:uid="{00000000-0010-0000-3000-000003000000}" name="AIProgress"/>
    <tableColumn id="4" xr3:uid="{00000000-0010-0000-3000-000004000000}" name="Status"/>
    <tableColumn id="5" xr3:uid="{00000000-0010-0000-3000-000005000000}" name="Owner"/>
    <tableColumn id="6" xr3:uid="{00000000-0010-0000-3000-000006000000}" name="TargetDate"/>
    <tableColumn id="7" xr3:uid="{00000000-0010-0000-3000-000007000000}" name="Notes"/>
    <tableColumn id="8" xr3:uid="{00000000-0010-0000-3000-000008000000}" name="Display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Workflow_Chlamydia_5" displayName="Workflow_Chlamydia_5" ref="A48:J111">
  <tableColumns count="10">
    <tableColumn id="1" xr3:uid="{00000000-0010-0000-3100-000001000000}" name="ActionOrder"/>
    <tableColumn id="2" xr3:uid="{00000000-0010-0000-3100-000002000000}" name="WorkflowStepID"/>
    <tableColumn id="3" xr3:uid="{00000000-0010-0000-3100-000003000000}" name="WorkflowGroup"/>
    <tableColumn id="4" xr3:uid="{00000000-0010-0000-3100-000004000000}" name="Activity"/>
    <tableColumn id="5" xr3:uid="{00000000-0010-0000-3100-000005000000}" name="Responsible"/>
    <tableColumn id="6" xr3:uid="{00000000-0010-0000-3100-000006000000}" name="Status"/>
    <tableColumn id="7" xr3:uid="{00000000-0010-0000-3100-000007000000}" name="Owner"/>
    <tableColumn id="8" xr3:uid="{00000000-0010-0000-3100-000008000000}" name="DueDate"/>
    <tableColumn id="9" xr3:uid="{00000000-0010-0000-3100-000009000000}" name="Notes"/>
    <tableColumn id="10" xr3:uid="{00000000-0010-0000-3100-00000A000000}" name="Display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Tasks_Chlamydia_6" displayName="Tasks_Chlamydia_6" ref="A114:K118">
  <tableColumns count="11">
    <tableColumn id="1" xr3:uid="{00000000-0010-0000-3200-000001000000}" name="TaskID"/>
    <tableColumn id="2" xr3:uid="{00000000-0010-0000-3200-000002000000}" name="Task"/>
    <tableColumn id="3" xr3:uid="{00000000-0010-0000-3200-000003000000}" name="Owner"/>
    <tableColumn id="4" xr3:uid="{00000000-0010-0000-3200-000004000000}" name="Status"/>
    <tableColumn id="5" xr3:uid="{00000000-0010-0000-3200-000005000000}" name="Risk"/>
    <tableColumn id="6" xr3:uid="{00000000-0010-0000-3200-000006000000}" name="DueDate"/>
    <tableColumn id="7" xr3:uid="{00000000-0010-0000-3200-000007000000}" name="Dependency"/>
    <tableColumn id="8" xr3:uid="{00000000-0010-0000-3200-000008000000}" name="Communication"/>
    <tableColumn id="9" xr3:uid="{00000000-0010-0000-3200-000009000000}" name="Source"/>
    <tableColumn id="10" xr3:uid="{00000000-0010-0000-3200-00000A000000}" name="SourceDate"/>
    <tableColumn id="11" xr3:uid="{00000000-0010-0000-3200-00000B000000}" name="Display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Comms_Chlamydia_7" displayName="Comms_Chlamydia_7" ref="A121:M122">
  <tableColumns count="13">
    <tableColumn id="1" xr3:uid="{00000000-0010-0000-3300-000001000000}" name="CommunicationID"/>
    <tableColumn id="2" xr3:uid="{00000000-0010-0000-3300-000002000000}" name="Date"/>
    <tableColumn id="3" xr3:uid="{00000000-0010-0000-3300-000003000000}" name="Subject"/>
    <tableColumn id="4" xr3:uid="{00000000-0010-0000-3300-000004000000}" name="People"/>
    <tableColumn id="5" xr3:uid="{00000000-0010-0000-3300-000005000000}" name="Responsible"/>
    <tableColumn id="6" xr3:uid="{00000000-0010-0000-3300-000006000000}" name="DueDate"/>
    <tableColumn id="7" xr3:uid="{00000000-0010-0000-3300-000007000000}" name="Status"/>
    <tableColumn id="8" xr3:uid="{00000000-0010-0000-3300-000008000000}" name="Summary"/>
    <tableColumn id="9" xr3:uid="{00000000-0010-0000-3300-000009000000}" name="LinkedTaskID"/>
    <tableColumn id="10" xr3:uid="{00000000-0010-0000-3300-00000A000000}" name="LinkedAction"/>
    <tableColumn id="11" xr3:uid="{00000000-0010-0000-3300-00000B000000}" name="SourceType"/>
    <tableColumn id="12" xr3:uid="{00000000-0010-0000-3300-00000C000000}" name="SourceLink"/>
    <tableColumn id="13" xr3:uid="{00000000-0010-0000-3300-00000D000000}" name="Display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Critical_Chlamydia_8" displayName="Critical_Chlamydia_8" ref="A125:G126">
  <tableColumns count="7">
    <tableColumn id="1" xr3:uid="{00000000-0010-0000-3400-000001000000}" name="CriticalItem"/>
    <tableColumn id="2" xr3:uid="{00000000-0010-0000-3400-000002000000}" name="Severity"/>
    <tableColumn id="3" xr3:uid="{00000000-0010-0000-3400-000003000000}" name="Owner"/>
    <tableColumn id="4" xr3:uid="{00000000-0010-0000-3400-000004000000}" name="DueDate"/>
    <tableColumn id="5" xr3:uid="{00000000-0010-0000-3400-000005000000}" name="Status"/>
    <tableColumn id="6" xr3:uid="{00000000-0010-0000-3400-000006000000}" name="Notes"/>
    <tableColumn id="7" xr3:uid="{00000000-0010-0000-3400-000007000000}" name="Display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Executive_Review5TBD_1" displayName="Executive_Review5TBD_1" ref="A4:D20">
  <tableColumns count="4">
    <tableColumn id="1" xr3:uid="{00000000-0010-0000-3500-000001000000}" name="Card Field"/>
    <tableColumn id="2" xr3:uid="{00000000-0010-0000-3500-000002000000}" name="Value"/>
    <tableColumn id="3" xr3:uid="{00000000-0010-0000-3500-000003000000}" name="Display"/>
    <tableColumn id="4" xr3:uid="{00000000-0010-0000-3500-000004000000}" name="Notes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Milestones_Review5TBD_2" displayName="Milestones_Review5TBD_2" ref="A23:F29">
  <tableColumns count="6">
    <tableColumn id="1" xr3:uid="{00000000-0010-0000-3600-000001000000}" name="Milestone"/>
    <tableColumn id="2" xr3:uid="{00000000-0010-0000-3600-000002000000}" name="Status"/>
    <tableColumn id="3" xr3:uid="{00000000-0010-0000-3600-000003000000}" name="Owner"/>
    <tableColumn id="4" xr3:uid="{00000000-0010-0000-3600-000004000000}" name="TargetDate"/>
    <tableColumn id="5" xr3:uid="{00000000-0010-0000-3600-000005000000}" name="Notes"/>
    <tableColumn id="6" xr3:uid="{00000000-0010-0000-3600-000006000000}" name="Display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Files_Review5TBD_3" displayName="Files_Review5TBD_3" ref="A32:G38">
  <tableColumns count="7">
    <tableColumn id="1" xr3:uid="{00000000-0010-0000-3700-000001000000}" name="FileType"/>
    <tableColumn id="2" xr3:uid="{00000000-0010-0000-3700-000002000000}" name="Ready"/>
    <tableColumn id="3" xr3:uid="{00000000-0010-0000-3700-000003000000}" name="Status"/>
    <tableColumn id="4" xr3:uid="{00000000-0010-0000-3700-000004000000}" name="Owner"/>
    <tableColumn id="5" xr3:uid="{00000000-0010-0000-3700-000005000000}" name="DueDate"/>
    <tableColumn id="6" xr3:uid="{00000000-0010-0000-3700-000006000000}" name="Notes"/>
    <tableColumn id="7" xr3:uid="{00000000-0010-0000-3700-000007000000}" name="Display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Stages_Review5TBD_4" displayName="Stages_Review5TBD_4" ref="A41:H45">
  <tableColumns count="8">
    <tableColumn id="1" xr3:uid="{00000000-0010-0000-3800-000001000000}" name="StageName"/>
    <tableColumn id="2" xr3:uid="{00000000-0010-0000-3800-000002000000}" name="HumanProgress"/>
    <tableColumn id="3" xr3:uid="{00000000-0010-0000-3800-000003000000}" name="AIProgress"/>
    <tableColumn id="4" xr3:uid="{00000000-0010-0000-3800-000004000000}" name="Status"/>
    <tableColumn id="5" xr3:uid="{00000000-0010-0000-3800-000005000000}" name="Owner"/>
    <tableColumn id="6" xr3:uid="{00000000-0010-0000-3800-000006000000}" name="TargetDate"/>
    <tableColumn id="7" xr3:uid="{00000000-0010-0000-3800-000007000000}" name="Notes"/>
    <tableColumn id="8" xr3:uid="{00000000-0010-0000-3800-000008000000}" name="Display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Workflow_Review5TBD_5" displayName="Workflow_Review5TBD_5" ref="A48:J111">
  <tableColumns count="10">
    <tableColumn id="1" xr3:uid="{00000000-0010-0000-3900-000001000000}" name="ActionOrder"/>
    <tableColumn id="2" xr3:uid="{00000000-0010-0000-3900-000002000000}" name="WorkflowStepID"/>
    <tableColumn id="3" xr3:uid="{00000000-0010-0000-3900-000003000000}" name="WorkflowGroup"/>
    <tableColumn id="4" xr3:uid="{00000000-0010-0000-3900-000004000000}" name="Activity"/>
    <tableColumn id="5" xr3:uid="{00000000-0010-0000-3900-000005000000}" name="Responsible"/>
    <tableColumn id="6" xr3:uid="{00000000-0010-0000-3900-000006000000}" name="Status"/>
    <tableColumn id="7" xr3:uid="{00000000-0010-0000-3900-000007000000}" name="Owner"/>
    <tableColumn id="8" xr3:uid="{00000000-0010-0000-3900-000008000000}" name="DueDate"/>
    <tableColumn id="9" xr3:uid="{00000000-0010-0000-3900-000009000000}" name="Notes"/>
    <tableColumn id="10" xr3:uid="{00000000-0010-0000-3900-00000A000000}" name="Display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Tasks_Review5TBD_6" displayName="Tasks_Review5TBD_6" ref="A114:K118">
  <tableColumns count="11">
    <tableColumn id="1" xr3:uid="{00000000-0010-0000-3A00-000001000000}" name="TaskID"/>
    <tableColumn id="2" xr3:uid="{00000000-0010-0000-3A00-000002000000}" name="Task"/>
    <tableColumn id="3" xr3:uid="{00000000-0010-0000-3A00-000003000000}" name="Owner"/>
    <tableColumn id="4" xr3:uid="{00000000-0010-0000-3A00-000004000000}" name="Status"/>
    <tableColumn id="5" xr3:uid="{00000000-0010-0000-3A00-000005000000}" name="Risk"/>
    <tableColumn id="6" xr3:uid="{00000000-0010-0000-3A00-000006000000}" name="DueDate"/>
    <tableColumn id="7" xr3:uid="{00000000-0010-0000-3A00-000007000000}" name="Dependency"/>
    <tableColumn id="8" xr3:uid="{00000000-0010-0000-3A00-000008000000}" name="Communication"/>
    <tableColumn id="9" xr3:uid="{00000000-0010-0000-3A00-000009000000}" name="Source"/>
    <tableColumn id="10" xr3:uid="{00000000-0010-0000-3A00-00000A000000}" name="SourceDate"/>
    <tableColumn id="11" xr3:uid="{00000000-0010-0000-3A00-00000B000000}" name="Display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Comms_Review5TBD_7" displayName="Comms_Review5TBD_7" ref="A121:M122">
  <tableColumns count="13">
    <tableColumn id="1" xr3:uid="{00000000-0010-0000-3B00-000001000000}" name="CommunicationID"/>
    <tableColumn id="2" xr3:uid="{00000000-0010-0000-3B00-000002000000}" name="Date"/>
    <tableColumn id="3" xr3:uid="{00000000-0010-0000-3B00-000003000000}" name="Subject"/>
    <tableColumn id="4" xr3:uid="{00000000-0010-0000-3B00-000004000000}" name="People"/>
    <tableColumn id="5" xr3:uid="{00000000-0010-0000-3B00-000005000000}" name="Responsible"/>
    <tableColumn id="6" xr3:uid="{00000000-0010-0000-3B00-000006000000}" name="DueDate"/>
    <tableColumn id="7" xr3:uid="{00000000-0010-0000-3B00-000007000000}" name="Status"/>
    <tableColumn id="8" xr3:uid="{00000000-0010-0000-3B00-000008000000}" name="Summary"/>
    <tableColumn id="9" xr3:uid="{00000000-0010-0000-3B00-000009000000}" name="LinkedTaskID"/>
    <tableColumn id="10" xr3:uid="{00000000-0010-0000-3B00-00000A000000}" name="LinkedAction"/>
    <tableColumn id="11" xr3:uid="{00000000-0010-0000-3B00-00000B000000}" name="SourceType"/>
    <tableColumn id="12" xr3:uid="{00000000-0010-0000-3B00-00000C000000}" name="SourceLink"/>
    <tableColumn id="13" xr3:uid="{00000000-0010-0000-3B00-00000D000000}" name="Display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Critical_Review5TBD_8" displayName="Critical_Review5TBD_8" ref="A125:G126">
  <tableColumns count="7">
    <tableColumn id="1" xr3:uid="{00000000-0010-0000-3C00-000001000000}" name="CriticalItem"/>
    <tableColumn id="2" xr3:uid="{00000000-0010-0000-3C00-000002000000}" name="Severity"/>
    <tableColumn id="3" xr3:uid="{00000000-0010-0000-3C00-000003000000}" name="Owner"/>
    <tableColumn id="4" xr3:uid="{00000000-0010-0000-3C00-000004000000}" name="DueDate"/>
    <tableColumn id="5" xr3:uid="{00000000-0010-0000-3C00-000005000000}" name="Status"/>
    <tableColumn id="6" xr3:uid="{00000000-0010-0000-3C00-000006000000}" name="Notes"/>
    <tableColumn id="7" xr3:uid="{00000000-0010-0000-3C00-000007000000}" name="Display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Executive_Phase2Batch_1" displayName="Executive_Phase2Batch_1" ref="A4:D20">
  <tableColumns count="4">
    <tableColumn id="1" xr3:uid="{00000000-0010-0000-3D00-000001000000}" name="Card Field"/>
    <tableColumn id="2" xr3:uid="{00000000-0010-0000-3D00-000002000000}" name="Value"/>
    <tableColumn id="3" xr3:uid="{00000000-0010-0000-3D00-000003000000}" name="Display"/>
    <tableColumn id="4" xr3:uid="{00000000-0010-0000-3D00-000004000000}" name="Notes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E000000}" name="Milestones_Phase2Batch_2" displayName="Milestones_Phase2Batch_2" ref="A23:F29">
  <tableColumns count="6">
    <tableColumn id="1" xr3:uid="{00000000-0010-0000-3E00-000001000000}" name="Milestone"/>
    <tableColumn id="2" xr3:uid="{00000000-0010-0000-3E00-000002000000}" name="Status"/>
    <tableColumn id="3" xr3:uid="{00000000-0010-0000-3E00-000003000000}" name="Owner"/>
    <tableColumn id="4" xr3:uid="{00000000-0010-0000-3E00-000004000000}" name="TargetDate"/>
    <tableColumn id="5" xr3:uid="{00000000-0010-0000-3E00-000005000000}" name="Notes"/>
    <tableColumn id="6" xr3:uid="{00000000-0010-0000-3E00-000006000000}" name="Display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3F000000}" name="Files_Phase2Batch_3" displayName="Files_Phase2Batch_3" ref="A32:G38">
  <tableColumns count="7">
    <tableColumn id="1" xr3:uid="{00000000-0010-0000-3F00-000001000000}" name="FileType"/>
    <tableColumn id="2" xr3:uid="{00000000-0010-0000-3F00-000002000000}" name="Ready"/>
    <tableColumn id="3" xr3:uid="{00000000-0010-0000-3F00-000003000000}" name="Status"/>
    <tableColumn id="4" xr3:uid="{00000000-0010-0000-3F00-000004000000}" name="Owner"/>
    <tableColumn id="5" xr3:uid="{00000000-0010-0000-3F00-000005000000}" name="DueDate"/>
    <tableColumn id="6" xr3:uid="{00000000-0010-0000-3F00-000006000000}" name="Notes"/>
    <tableColumn id="7" xr3:uid="{00000000-0010-0000-3F00-000007000000}" name="Display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40000000}" name="Stages_Phase2Batch_4" displayName="Stages_Phase2Batch_4" ref="A41:H45">
  <tableColumns count="8">
    <tableColumn id="1" xr3:uid="{00000000-0010-0000-4000-000001000000}" name="StageName"/>
    <tableColumn id="2" xr3:uid="{00000000-0010-0000-4000-000002000000}" name="HumanProgress"/>
    <tableColumn id="3" xr3:uid="{00000000-0010-0000-4000-000003000000}" name="AIProgress"/>
    <tableColumn id="4" xr3:uid="{00000000-0010-0000-4000-000004000000}" name="Status"/>
    <tableColumn id="5" xr3:uid="{00000000-0010-0000-4000-000005000000}" name="Owner"/>
    <tableColumn id="6" xr3:uid="{00000000-0010-0000-4000-000006000000}" name="TargetDate"/>
    <tableColumn id="7" xr3:uid="{00000000-0010-0000-4000-000007000000}" name="Notes"/>
    <tableColumn id="8" xr3:uid="{00000000-0010-0000-4000-000008000000}" name="Display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41000000}" name="Workflow_Phase2Batch_5" displayName="Workflow_Phase2Batch_5" ref="A48:J111">
  <tableColumns count="10">
    <tableColumn id="1" xr3:uid="{00000000-0010-0000-4100-000001000000}" name="ActionOrder"/>
    <tableColumn id="2" xr3:uid="{00000000-0010-0000-4100-000002000000}" name="WorkflowStepID"/>
    <tableColumn id="3" xr3:uid="{00000000-0010-0000-4100-000003000000}" name="WorkflowGroup"/>
    <tableColumn id="4" xr3:uid="{00000000-0010-0000-4100-000004000000}" name="Activity"/>
    <tableColumn id="5" xr3:uid="{00000000-0010-0000-4100-000005000000}" name="Responsible"/>
    <tableColumn id="6" xr3:uid="{00000000-0010-0000-4100-000006000000}" name="Status"/>
    <tableColumn id="7" xr3:uid="{00000000-0010-0000-4100-000007000000}" name="Owner"/>
    <tableColumn id="8" xr3:uid="{00000000-0010-0000-4100-000008000000}" name="DueDate"/>
    <tableColumn id="9" xr3:uid="{00000000-0010-0000-4100-000009000000}" name="Notes"/>
    <tableColumn id="10" xr3:uid="{00000000-0010-0000-4100-00000A000000}" name="Display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42000000}" name="Tasks_Phase2Batch_6" displayName="Tasks_Phase2Batch_6" ref="A114:K115">
  <tableColumns count="11">
    <tableColumn id="1" xr3:uid="{00000000-0010-0000-4200-000001000000}" name="TaskID"/>
    <tableColumn id="2" xr3:uid="{00000000-0010-0000-4200-000002000000}" name="Task"/>
    <tableColumn id="3" xr3:uid="{00000000-0010-0000-4200-000003000000}" name="Owner"/>
    <tableColumn id="4" xr3:uid="{00000000-0010-0000-4200-000004000000}" name="Status"/>
    <tableColumn id="5" xr3:uid="{00000000-0010-0000-4200-000005000000}" name="Risk"/>
    <tableColumn id="6" xr3:uid="{00000000-0010-0000-4200-000006000000}" name="DueDate"/>
    <tableColumn id="7" xr3:uid="{00000000-0010-0000-4200-000007000000}" name="Dependency"/>
    <tableColumn id="8" xr3:uid="{00000000-0010-0000-4200-000008000000}" name="Communication"/>
    <tableColumn id="9" xr3:uid="{00000000-0010-0000-4200-000009000000}" name="Source"/>
    <tableColumn id="10" xr3:uid="{00000000-0010-0000-4200-00000A000000}" name="SourceDate"/>
    <tableColumn id="11" xr3:uid="{00000000-0010-0000-4200-00000B000000}" name="Display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43000000}" name="Comms_Phase2Batch_7" displayName="Comms_Phase2Batch_7" ref="A118:M119">
  <tableColumns count="13">
    <tableColumn id="1" xr3:uid="{00000000-0010-0000-4300-000001000000}" name="CommunicationID"/>
    <tableColumn id="2" xr3:uid="{00000000-0010-0000-4300-000002000000}" name="Date"/>
    <tableColumn id="3" xr3:uid="{00000000-0010-0000-4300-000003000000}" name="Subject"/>
    <tableColumn id="4" xr3:uid="{00000000-0010-0000-4300-000004000000}" name="People"/>
    <tableColumn id="5" xr3:uid="{00000000-0010-0000-4300-000005000000}" name="Responsible"/>
    <tableColumn id="6" xr3:uid="{00000000-0010-0000-4300-000006000000}" name="DueDate"/>
    <tableColumn id="7" xr3:uid="{00000000-0010-0000-4300-000007000000}" name="Status"/>
    <tableColumn id="8" xr3:uid="{00000000-0010-0000-4300-000008000000}" name="Summary"/>
    <tableColumn id="9" xr3:uid="{00000000-0010-0000-4300-000009000000}" name="LinkedTaskID"/>
    <tableColumn id="10" xr3:uid="{00000000-0010-0000-4300-00000A000000}" name="LinkedAction"/>
    <tableColumn id="11" xr3:uid="{00000000-0010-0000-4300-00000B000000}" name="SourceType"/>
    <tableColumn id="12" xr3:uid="{00000000-0010-0000-4300-00000C000000}" name="SourceLink"/>
    <tableColumn id="13" xr3:uid="{00000000-0010-0000-4300-00000D000000}" name="Display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44000000}" name="Critical_Phase2Batch_8" displayName="Critical_Phase2Batch_8" ref="A122:G123">
  <tableColumns count="7">
    <tableColumn id="1" xr3:uid="{00000000-0010-0000-4400-000001000000}" name="CriticalItem"/>
    <tableColumn id="2" xr3:uid="{00000000-0010-0000-4400-000002000000}" name="Severity"/>
    <tableColumn id="3" xr3:uid="{00000000-0010-0000-4400-000003000000}" name="Owner"/>
    <tableColumn id="4" xr3:uid="{00000000-0010-0000-4400-000004000000}" name="DueDate"/>
    <tableColumn id="5" xr3:uid="{00000000-0010-0000-4400-000005000000}" name="Status"/>
    <tableColumn id="6" xr3:uid="{00000000-0010-0000-4400-000006000000}" name="Notes"/>
    <tableColumn id="7" xr3:uid="{00000000-0010-0000-4400-000007000000}" name="Display"/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0000000-000C-0000-FFFF-FFFF45000000}" name="CandidatePipeline" displayName="CandidatePipeline" ref="A11:I51">
  <tableColumns count="9">
    <tableColumn id="1" xr3:uid="{00000000-0010-0000-4500-000001000000}" name="CandidateID"/>
    <tableColumn id="2" xr3:uid="{00000000-0010-0000-4500-000002000000}" name="ReviewName"/>
    <tableColumn id="3" xr3:uid="{00000000-0010-0000-4500-000003000000}" name="Category"/>
    <tableColumn id="4" xr3:uid="{00000000-0010-0000-4500-000004000000}" name="Status"/>
    <tableColumn id="5" xr3:uid="{00000000-0010-0000-4500-000005000000}" name="TargetPhase"/>
    <tableColumn id="6" xr3:uid="{00000000-0010-0000-4500-000006000000}" name="Lead/Contact"/>
    <tableColumn id="7" xr3:uid="{00000000-0010-0000-4500-000007000000}" name="ExpectedTiming"/>
    <tableColumn id="8" xr3:uid="{00000000-0010-0000-4500-000008000000}" name="Remarks"/>
    <tableColumn id="9" xr3:uid="{00000000-0010-0000-4500-000009000000}" name="MoveToFullShee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3.xml"/><Relationship Id="rId3" Type="http://schemas.openxmlformats.org/officeDocument/2006/relationships/table" Target="../tables/table8.xml"/><Relationship Id="rId7" Type="http://schemas.openxmlformats.org/officeDocument/2006/relationships/table" Target="../tables/table12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6" Type="http://schemas.openxmlformats.org/officeDocument/2006/relationships/table" Target="../tables/table11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1.xml"/><Relationship Id="rId3" Type="http://schemas.openxmlformats.org/officeDocument/2006/relationships/table" Target="../tables/table16.xml"/><Relationship Id="rId7" Type="http://schemas.openxmlformats.org/officeDocument/2006/relationships/table" Target="../tables/table20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6" Type="http://schemas.openxmlformats.org/officeDocument/2006/relationships/table" Target="../tables/table19.xml"/><Relationship Id="rId5" Type="http://schemas.openxmlformats.org/officeDocument/2006/relationships/table" Target="../tables/table18.xml"/><Relationship Id="rId4" Type="http://schemas.openxmlformats.org/officeDocument/2006/relationships/table" Target="../tables/table17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9.xml"/><Relationship Id="rId3" Type="http://schemas.openxmlformats.org/officeDocument/2006/relationships/table" Target="../tables/table24.xml"/><Relationship Id="rId7" Type="http://schemas.openxmlformats.org/officeDocument/2006/relationships/table" Target="../tables/table28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Relationship Id="rId6" Type="http://schemas.openxmlformats.org/officeDocument/2006/relationships/table" Target="../tables/table27.xml"/><Relationship Id="rId5" Type="http://schemas.openxmlformats.org/officeDocument/2006/relationships/table" Target="../tables/table26.xml"/><Relationship Id="rId4" Type="http://schemas.openxmlformats.org/officeDocument/2006/relationships/table" Target="../tables/table2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7.xml"/><Relationship Id="rId3" Type="http://schemas.openxmlformats.org/officeDocument/2006/relationships/table" Target="../tables/table32.xml"/><Relationship Id="rId7" Type="http://schemas.openxmlformats.org/officeDocument/2006/relationships/table" Target="../tables/table36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Relationship Id="rId6" Type="http://schemas.openxmlformats.org/officeDocument/2006/relationships/table" Target="../tables/table35.xml"/><Relationship Id="rId5" Type="http://schemas.openxmlformats.org/officeDocument/2006/relationships/table" Target="../tables/table34.xml"/><Relationship Id="rId4" Type="http://schemas.openxmlformats.org/officeDocument/2006/relationships/table" Target="../tables/table33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5.xml"/><Relationship Id="rId3" Type="http://schemas.openxmlformats.org/officeDocument/2006/relationships/table" Target="../tables/table40.xml"/><Relationship Id="rId7" Type="http://schemas.openxmlformats.org/officeDocument/2006/relationships/table" Target="../tables/table44.xml"/><Relationship Id="rId2" Type="http://schemas.openxmlformats.org/officeDocument/2006/relationships/table" Target="../tables/table39.xml"/><Relationship Id="rId1" Type="http://schemas.openxmlformats.org/officeDocument/2006/relationships/table" Target="../tables/table38.xml"/><Relationship Id="rId6" Type="http://schemas.openxmlformats.org/officeDocument/2006/relationships/table" Target="../tables/table43.xml"/><Relationship Id="rId5" Type="http://schemas.openxmlformats.org/officeDocument/2006/relationships/table" Target="../tables/table42.xml"/><Relationship Id="rId4" Type="http://schemas.openxmlformats.org/officeDocument/2006/relationships/table" Target="../tables/table4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3.xml"/><Relationship Id="rId3" Type="http://schemas.openxmlformats.org/officeDocument/2006/relationships/table" Target="../tables/table48.xml"/><Relationship Id="rId7" Type="http://schemas.openxmlformats.org/officeDocument/2006/relationships/table" Target="../tables/table52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Relationship Id="rId6" Type="http://schemas.openxmlformats.org/officeDocument/2006/relationships/table" Target="../tables/table51.xml"/><Relationship Id="rId5" Type="http://schemas.openxmlformats.org/officeDocument/2006/relationships/table" Target="../tables/table50.xml"/><Relationship Id="rId4" Type="http://schemas.openxmlformats.org/officeDocument/2006/relationships/table" Target="../tables/table49.xm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1.xml"/><Relationship Id="rId3" Type="http://schemas.openxmlformats.org/officeDocument/2006/relationships/table" Target="../tables/table56.xml"/><Relationship Id="rId7" Type="http://schemas.openxmlformats.org/officeDocument/2006/relationships/table" Target="../tables/table60.xml"/><Relationship Id="rId2" Type="http://schemas.openxmlformats.org/officeDocument/2006/relationships/table" Target="../tables/table55.xml"/><Relationship Id="rId1" Type="http://schemas.openxmlformats.org/officeDocument/2006/relationships/table" Target="../tables/table54.xml"/><Relationship Id="rId6" Type="http://schemas.openxmlformats.org/officeDocument/2006/relationships/table" Target="../tables/table59.xml"/><Relationship Id="rId5" Type="http://schemas.openxmlformats.org/officeDocument/2006/relationships/table" Target="../tables/table58.xml"/><Relationship Id="rId4" Type="http://schemas.openxmlformats.org/officeDocument/2006/relationships/table" Target="../tables/table57.xm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9.xml"/><Relationship Id="rId3" Type="http://schemas.openxmlformats.org/officeDocument/2006/relationships/table" Target="../tables/table64.xml"/><Relationship Id="rId7" Type="http://schemas.openxmlformats.org/officeDocument/2006/relationships/table" Target="../tables/table68.xml"/><Relationship Id="rId2" Type="http://schemas.openxmlformats.org/officeDocument/2006/relationships/table" Target="../tables/table63.xml"/><Relationship Id="rId1" Type="http://schemas.openxmlformats.org/officeDocument/2006/relationships/table" Target="../tables/table62.xml"/><Relationship Id="rId6" Type="http://schemas.openxmlformats.org/officeDocument/2006/relationships/table" Target="../tables/table67.xml"/><Relationship Id="rId5" Type="http://schemas.openxmlformats.org/officeDocument/2006/relationships/table" Target="../tables/table66.xml"/><Relationship Id="rId4" Type="http://schemas.openxmlformats.org/officeDocument/2006/relationships/table" Target="../tables/table6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7"/>
  <sheetViews>
    <sheetView topLeftCell="H1" workbookViewId="0">
      <selection activeCell="M13" sqref="M13"/>
    </sheetView>
  </sheetViews>
  <sheetFormatPr defaultRowHeight="14"/>
  <cols>
    <col min="1" max="9" width="20" customWidth="1"/>
    <col min="10" max="10" width="32" customWidth="1"/>
    <col min="11" max="12" width="20" customWidth="1"/>
    <col min="13" max="13" width="24" customWidth="1"/>
  </cols>
  <sheetData>
    <row r="1" spans="1:13" ht="18">
      <c r="A1" s="8" t="s">
        <v>0</v>
      </c>
      <c r="B1" s="8"/>
      <c r="C1" s="8"/>
      <c r="D1" s="9"/>
      <c r="E1" s="9"/>
      <c r="F1" s="9"/>
      <c r="G1" s="9"/>
      <c r="H1" s="9"/>
      <c r="I1" s="9"/>
      <c r="J1" s="9"/>
      <c r="K1" s="9"/>
      <c r="L1" s="9"/>
      <c r="M1" s="14" t="s">
        <v>1</v>
      </c>
    </row>
    <row r="2" spans="1:13">
      <c r="M2" t="s">
        <v>2</v>
      </c>
    </row>
    <row r="3" spans="1:13">
      <c r="A3" s="11" t="s">
        <v>3</v>
      </c>
      <c r="B3" s="11" t="s">
        <v>4</v>
      </c>
      <c r="C3" s="11" t="s">
        <v>5</v>
      </c>
      <c r="D3" s="11" t="s">
        <v>6</v>
      </c>
      <c r="E3" s="11" t="s">
        <v>7</v>
      </c>
      <c r="F3" s="11" t="s">
        <v>8</v>
      </c>
      <c r="G3" s="11" t="s">
        <v>9</v>
      </c>
      <c r="H3" s="11" t="s">
        <v>10</v>
      </c>
      <c r="I3" s="11" t="s">
        <v>11</v>
      </c>
      <c r="J3" s="11" t="s">
        <v>12</v>
      </c>
      <c r="K3" s="11" t="s">
        <v>13</v>
      </c>
      <c r="L3" s="11" t="s">
        <v>14</v>
      </c>
      <c r="M3" t="s">
        <v>15</v>
      </c>
    </row>
    <row r="4" spans="1:13">
      <c r="A4" t="s">
        <v>16</v>
      </c>
      <c r="B4" t="s">
        <v>17</v>
      </c>
      <c r="C4" t="s">
        <v>18</v>
      </c>
      <c r="D4" t="s">
        <v>19</v>
      </c>
      <c r="E4" t="s">
        <v>20</v>
      </c>
      <c r="F4" t="s">
        <v>21</v>
      </c>
      <c r="G4" t="s">
        <v>22</v>
      </c>
      <c r="H4" t="s">
        <v>23</v>
      </c>
      <c r="I4" t="s">
        <v>24</v>
      </c>
      <c r="J4" t="s">
        <v>25</v>
      </c>
      <c r="K4" t="s">
        <v>17</v>
      </c>
      <c r="L4" t="s">
        <v>26</v>
      </c>
      <c r="M4" t="s">
        <v>27</v>
      </c>
    </row>
    <row r="5" spans="1:13">
      <c r="A5" t="s">
        <v>28</v>
      </c>
      <c r="B5" t="s">
        <v>29</v>
      </c>
      <c r="C5" t="s">
        <v>30</v>
      </c>
      <c r="D5" t="s">
        <v>31</v>
      </c>
      <c r="E5" t="s">
        <v>32</v>
      </c>
      <c r="F5" t="s">
        <v>33</v>
      </c>
      <c r="G5" t="s">
        <v>34</v>
      </c>
      <c r="H5" t="s">
        <v>35</v>
      </c>
      <c r="I5" t="s">
        <v>36</v>
      </c>
      <c r="J5" t="s">
        <v>37</v>
      </c>
      <c r="K5" t="s">
        <v>29</v>
      </c>
      <c r="L5" t="s">
        <v>38</v>
      </c>
      <c r="M5" t="s">
        <v>39</v>
      </c>
    </row>
    <row r="6" spans="1:13">
      <c r="A6" t="s">
        <v>40</v>
      </c>
      <c r="B6" t="s">
        <v>41</v>
      </c>
      <c r="C6" t="s">
        <v>42</v>
      </c>
      <c r="D6" t="s">
        <v>43</v>
      </c>
      <c r="F6" t="s">
        <v>44</v>
      </c>
      <c r="G6" t="s">
        <v>45</v>
      </c>
      <c r="H6" t="s">
        <v>46</v>
      </c>
      <c r="I6" t="s">
        <v>47</v>
      </c>
      <c r="J6" t="s">
        <v>48</v>
      </c>
      <c r="K6" t="s">
        <v>41</v>
      </c>
      <c r="L6" t="s">
        <v>4</v>
      </c>
      <c r="M6" t="s">
        <v>49</v>
      </c>
    </row>
    <row r="7" spans="1:13">
      <c r="A7" t="s">
        <v>50</v>
      </c>
      <c r="B7" t="s">
        <v>51</v>
      </c>
      <c r="C7" t="s">
        <v>52</v>
      </c>
      <c r="D7" t="s">
        <v>53</v>
      </c>
      <c r="F7" t="s">
        <v>54</v>
      </c>
      <c r="G7" t="s">
        <v>55</v>
      </c>
      <c r="H7" t="s">
        <v>56</v>
      </c>
      <c r="I7" t="s">
        <v>57</v>
      </c>
      <c r="J7" t="s">
        <v>58</v>
      </c>
      <c r="L7" t="s">
        <v>28</v>
      </c>
      <c r="M7" t="s">
        <v>59</v>
      </c>
    </row>
    <row r="8" spans="1:13">
      <c r="A8" t="s">
        <v>60</v>
      </c>
      <c r="C8" t="s">
        <v>45</v>
      </c>
      <c r="D8" t="s">
        <v>61</v>
      </c>
      <c r="F8" t="s">
        <v>62</v>
      </c>
      <c r="G8" t="s">
        <v>63</v>
      </c>
      <c r="H8" t="s">
        <v>36</v>
      </c>
      <c r="I8" t="s">
        <v>64</v>
      </c>
      <c r="J8" t="s">
        <v>65</v>
      </c>
      <c r="L8" t="s">
        <v>66</v>
      </c>
    </row>
    <row r="9" spans="1:13">
      <c r="A9" t="s">
        <v>67</v>
      </c>
      <c r="D9" t="s">
        <v>68</v>
      </c>
      <c r="F9" t="s">
        <v>69</v>
      </c>
      <c r="G9" t="s">
        <v>70</v>
      </c>
      <c r="H9" t="s">
        <v>71</v>
      </c>
      <c r="I9" t="s">
        <v>72</v>
      </c>
      <c r="J9" t="s">
        <v>73</v>
      </c>
    </row>
    <row r="10" spans="1:13">
      <c r="A10" t="s">
        <v>74</v>
      </c>
      <c r="D10" t="s">
        <v>51</v>
      </c>
      <c r="G10" t="s">
        <v>75</v>
      </c>
      <c r="I10" t="s">
        <v>76</v>
      </c>
    </row>
    <row r="11" spans="1:13">
      <c r="A11" t="s">
        <v>26</v>
      </c>
      <c r="I11" t="s">
        <v>77</v>
      </c>
    </row>
    <row r="12" spans="1:13">
      <c r="A12" t="s">
        <v>78</v>
      </c>
      <c r="I12" t="s">
        <v>79</v>
      </c>
    </row>
    <row r="13" spans="1:13">
      <c r="A13" t="s">
        <v>80</v>
      </c>
      <c r="I13" t="s">
        <v>81</v>
      </c>
    </row>
    <row r="14" spans="1:13">
      <c r="A14" t="s">
        <v>82</v>
      </c>
    </row>
    <row r="15" spans="1:13">
      <c r="A15" t="s">
        <v>83</v>
      </c>
    </row>
    <row r="16" spans="1:13">
      <c r="A16" t="s">
        <v>84</v>
      </c>
    </row>
    <row r="17" spans="1:1">
      <c r="A17" t="s">
        <v>38</v>
      </c>
    </row>
    <row r="18" spans="1:1">
      <c r="A18" t="s">
        <v>85</v>
      </c>
    </row>
    <row r="19" spans="1:1">
      <c r="A19" t="s">
        <v>86</v>
      </c>
    </row>
    <row r="20" spans="1:1">
      <c r="A20" t="s">
        <v>87</v>
      </c>
    </row>
    <row r="21" spans="1:1">
      <c r="A21" t="s">
        <v>39</v>
      </c>
    </row>
    <row r="22" spans="1:1">
      <c r="A22" t="s">
        <v>88</v>
      </c>
    </row>
    <row r="23" spans="1:1">
      <c r="A23" t="s">
        <v>89</v>
      </c>
    </row>
    <row r="24" spans="1:1">
      <c r="A24" t="s">
        <v>90</v>
      </c>
    </row>
    <row r="25" spans="1:1">
      <c r="A25" t="s">
        <v>51</v>
      </c>
    </row>
    <row r="26" spans="1:1">
      <c r="A26" t="s">
        <v>91</v>
      </c>
    </row>
    <row r="27" spans="1:1">
      <c r="A27" t="s">
        <v>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/>
  </sheetViews>
  <sheetFormatPr defaultRowHeight="14"/>
  <cols>
    <col min="1" max="1" width="24" customWidth="1"/>
    <col min="2" max="2" width="105" customWidth="1"/>
  </cols>
  <sheetData>
    <row r="1" spans="1:2" ht="18">
      <c r="A1" s="2" t="s">
        <v>93</v>
      </c>
      <c r="B1" s="2"/>
    </row>
    <row r="2" spans="1:2">
      <c r="A2" s="3" t="s">
        <v>94</v>
      </c>
      <c r="B2" s="4" t="s">
        <v>95</v>
      </c>
    </row>
    <row r="3" spans="1:2" ht="28">
      <c r="A3" s="3" t="s">
        <v>96</v>
      </c>
      <c r="B3" s="4" t="s">
        <v>97</v>
      </c>
    </row>
    <row r="4" spans="1:2" ht="28">
      <c r="A4" s="3" t="s">
        <v>98</v>
      </c>
      <c r="B4" s="4" t="s">
        <v>99</v>
      </c>
    </row>
    <row r="5" spans="1:2" ht="28">
      <c r="A5" s="3" t="s">
        <v>100</v>
      </c>
      <c r="B5" s="4" t="s">
        <v>101</v>
      </c>
    </row>
    <row r="6" spans="1:2" ht="28">
      <c r="A6" s="3" t="s">
        <v>102</v>
      </c>
      <c r="B6" s="4" t="s">
        <v>103</v>
      </c>
    </row>
    <row r="7" spans="1:2">
      <c r="A7" s="3" t="s">
        <v>104</v>
      </c>
      <c r="B7" s="4" t="s">
        <v>105</v>
      </c>
    </row>
    <row r="8" spans="1:2">
      <c r="A8" s="3" t="s">
        <v>106</v>
      </c>
      <c r="B8" s="4" t="s">
        <v>107</v>
      </c>
    </row>
    <row r="10" spans="1:2">
      <c r="A10" s="10" t="s">
        <v>108</v>
      </c>
      <c r="B10" s="10" t="s">
        <v>109</v>
      </c>
    </row>
    <row r="11" spans="1:2">
      <c r="A11" t="s">
        <v>110</v>
      </c>
      <c r="B11" t="s">
        <v>111</v>
      </c>
    </row>
    <row r="12" spans="1:2">
      <c r="A12" t="s">
        <v>112</v>
      </c>
      <c r="B12" t="s">
        <v>113</v>
      </c>
    </row>
    <row r="13" spans="1:2">
      <c r="A13" t="s">
        <v>114</v>
      </c>
      <c r="B13" t="s">
        <v>115</v>
      </c>
    </row>
    <row r="14" spans="1:2">
      <c r="A14" t="s">
        <v>116</v>
      </c>
      <c r="B14" t="s">
        <v>117</v>
      </c>
    </row>
    <row r="16" spans="1:2" ht="28">
      <c r="A16" s="20" t="s">
        <v>118</v>
      </c>
      <c r="B16" s="21" t="s">
        <v>119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9"/>
  <sheetViews>
    <sheetView workbookViewId="0">
      <selection activeCell="A16" sqref="A16"/>
    </sheetView>
  </sheetViews>
  <sheetFormatPr defaultRowHeight="14"/>
  <cols>
    <col min="1" max="2" width="18" customWidth="1"/>
    <col min="3" max="3" width="44" customWidth="1"/>
    <col min="4" max="8" width="18" customWidth="1"/>
    <col min="9" max="10" width="42" customWidth="1"/>
    <col min="11" max="14" width="18" customWidth="1"/>
  </cols>
  <sheetData>
    <row r="1" spans="1:14">
      <c r="A1" s="5" t="s">
        <v>120</v>
      </c>
      <c r="B1" s="5" t="s">
        <v>121</v>
      </c>
      <c r="C1" s="5" t="s">
        <v>122</v>
      </c>
      <c r="D1" s="5" t="s">
        <v>5</v>
      </c>
      <c r="E1" s="5" t="s">
        <v>3</v>
      </c>
      <c r="F1" s="5" t="s">
        <v>4</v>
      </c>
      <c r="G1" s="5" t="s">
        <v>6</v>
      </c>
      <c r="H1" s="5" t="s">
        <v>123</v>
      </c>
      <c r="I1" s="5" t="s">
        <v>124</v>
      </c>
      <c r="J1" s="5" t="s">
        <v>125</v>
      </c>
      <c r="K1" s="5" t="s">
        <v>126</v>
      </c>
      <c r="L1" s="5" t="s">
        <v>127</v>
      </c>
      <c r="M1" s="5" t="s">
        <v>128</v>
      </c>
      <c r="N1" s="5" t="s">
        <v>129</v>
      </c>
    </row>
    <row r="2" spans="1:14">
      <c r="A2" t="s">
        <v>130</v>
      </c>
      <c r="B2" t="s">
        <v>131</v>
      </c>
      <c r="C2" t="s">
        <v>132</v>
      </c>
      <c r="D2" t="s">
        <v>18</v>
      </c>
      <c r="E2" t="s">
        <v>89</v>
      </c>
      <c r="F2" t="s">
        <v>29</v>
      </c>
      <c r="G2" t="s">
        <v>51</v>
      </c>
      <c r="H2" t="s">
        <v>133</v>
      </c>
      <c r="I2" t="s">
        <v>134</v>
      </c>
      <c r="J2" t="s">
        <v>135</v>
      </c>
      <c r="K2" t="s">
        <v>136</v>
      </c>
      <c r="L2" t="s">
        <v>89</v>
      </c>
      <c r="M2" t="s">
        <v>20</v>
      </c>
      <c r="N2" t="s">
        <v>137</v>
      </c>
    </row>
    <row r="3" spans="1:14">
      <c r="A3" t="s">
        <v>138</v>
      </c>
      <c r="B3" t="s">
        <v>139</v>
      </c>
      <c r="C3" t="s">
        <v>140</v>
      </c>
      <c r="D3" t="s">
        <v>18</v>
      </c>
      <c r="E3" t="s">
        <v>67</v>
      </c>
      <c r="F3" t="s">
        <v>29</v>
      </c>
      <c r="G3" t="s">
        <v>51</v>
      </c>
      <c r="H3" t="s">
        <v>141</v>
      </c>
      <c r="I3" t="s">
        <v>142</v>
      </c>
      <c r="J3" t="s">
        <v>143</v>
      </c>
      <c r="K3" t="s">
        <v>144</v>
      </c>
      <c r="L3" t="s">
        <v>67</v>
      </c>
      <c r="M3" t="s">
        <v>20</v>
      </c>
      <c r="N3" t="s">
        <v>145</v>
      </c>
    </row>
    <row r="4" spans="1:14">
      <c r="A4" t="s">
        <v>146</v>
      </c>
      <c r="B4" t="s">
        <v>147</v>
      </c>
      <c r="C4" t="s">
        <v>148</v>
      </c>
      <c r="D4" t="s">
        <v>30</v>
      </c>
      <c r="E4" t="s">
        <v>50</v>
      </c>
      <c r="F4" t="s">
        <v>17</v>
      </c>
      <c r="G4" t="s">
        <v>19</v>
      </c>
      <c r="H4" t="s">
        <v>149</v>
      </c>
      <c r="I4" t="s">
        <v>150</v>
      </c>
      <c r="J4" t="s">
        <v>151</v>
      </c>
      <c r="K4" t="s">
        <v>152</v>
      </c>
      <c r="L4" t="s">
        <v>50</v>
      </c>
      <c r="M4" t="s">
        <v>20</v>
      </c>
      <c r="N4" t="s">
        <v>153</v>
      </c>
    </row>
    <row r="5" spans="1:14">
      <c r="A5" t="s">
        <v>154</v>
      </c>
      <c r="B5" t="s">
        <v>155</v>
      </c>
      <c r="C5" t="s">
        <v>156</v>
      </c>
      <c r="D5" t="s">
        <v>30</v>
      </c>
      <c r="E5" t="s">
        <v>50</v>
      </c>
      <c r="F5" t="s">
        <v>17</v>
      </c>
      <c r="G5" t="s">
        <v>31</v>
      </c>
      <c r="H5" t="s">
        <v>157</v>
      </c>
      <c r="I5" t="s">
        <v>158</v>
      </c>
      <c r="J5" t="s">
        <v>159</v>
      </c>
      <c r="K5" t="s">
        <v>152</v>
      </c>
      <c r="L5" t="s">
        <v>50</v>
      </c>
      <c r="M5" t="s">
        <v>20</v>
      </c>
      <c r="N5" t="s">
        <v>160</v>
      </c>
    </row>
    <row r="6" spans="1:14">
      <c r="A6" t="s">
        <v>161</v>
      </c>
      <c r="B6" t="s">
        <v>162</v>
      </c>
      <c r="C6" t="s">
        <v>163</v>
      </c>
      <c r="D6" t="s">
        <v>30</v>
      </c>
      <c r="E6" t="s">
        <v>90</v>
      </c>
      <c r="F6" t="s">
        <v>29</v>
      </c>
      <c r="G6" t="s">
        <v>61</v>
      </c>
      <c r="H6" t="s">
        <v>164</v>
      </c>
      <c r="I6" t="s">
        <v>165</v>
      </c>
      <c r="J6" t="s">
        <v>166</v>
      </c>
      <c r="K6" t="s">
        <v>167</v>
      </c>
      <c r="L6" t="s">
        <v>50</v>
      </c>
      <c r="M6" t="s">
        <v>20</v>
      </c>
      <c r="N6" t="s">
        <v>168</v>
      </c>
    </row>
    <row r="7" spans="1:14">
      <c r="A7" t="s">
        <v>169</v>
      </c>
      <c r="B7" t="s">
        <v>170</v>
      </c>
      <c r="C7" t="s">
        <v>171</v>
      </c>
      <c r="D7" t="s">
        <v>30</v>
      </c>
      <c r="E7" t="s">
        <v>40</v>
      </c>
      <c r="F7" t="s">
        <v>41</v>
      </c>
      <c r="G7" t="s">
        <v>68</v>
      </c>
      <c r="H7" t="s">
        <v>172</v>
      </c>
      <c r="I7" t="s">
        <v>173</v>
      </c>
      <c r="J7" t="s">
        <v>174</v>
      </c>
      <c r="K7" t="s">
        <v>152</v>
      </c>
      <c r="L7" t="s">
        <v>40</v>
      </c>
      <c r="M7" t="s">
        <v>20</v>
      </c>
      <c r="N7" t="s">
        <v>175</v>
      </c>
    </row>
    <row r="8" spans="1:14">
      <c r="A8" t="s">
        <v>176</v>
      </c>
      <c r="B8" t="s">
        <v>177</v>
      </c>
      <c r="C8" t="s">
        <v>177</v>
      </c>
      <c r="D8" t="s">
        <v>30</v>
      </c>
      <c r="E8" t="s">
        <v>51</v>
      </c>
      <c r="F8" t="s">
        <v>41</v>
      </c>
      <c r="G8" t="s">
        <v>68</v>
      </c>
      <c r="H8" t="s">
        <v>178</v>
      </c>
      <c r="I8" t="s">
        <v>179</v>
      </c>
      <c r="J8" t="s">
        <v>180</v>
      </c>
      <c r="K8" t="s">
        <v>181</v>
      </c>
      <c r="L8" t="s">
        <v>40</v>
      </c>
      <c r="M8" t="s">
        <v>20</v>
      </c>
      <c r="N8" t="s">
        <v>182</v>
      </c>
    </row>
    <row r="9" spans="1:14">
      <c r="A9" t="s">
        <v>183</v>
      </c>
      <c r="B9" t="s">
        <v>184</v>
      </c>
      <c r="C9" t="s">
        <v>184</v>
      </c>
      <c r="D9" t="s">
        <v>42</v>
      </c>
      <c r="E9" t="s">
        <v>83</v>
      </c>
      <c r="F9" t="s">
        <v>29</v>
      </c>
      <c r="G9" t="s">
        <v>51</v>
      </c>
      <c r="H9" t="s">
        <v>51</v>
      </c>
      <c r="I9" t="s">
        <v>185</v>
      </c>
      <c r="J9" t="s">
        <v>186</v>
      </c>
      <c r="K9" t="s">
        <v>51</v>
      </c>
      <c r="L9" t="s">
        <v>16</v>
      </c>
      <c r="M9" t="s">
        <v>20</v>
      </c>
      <c r="N9" t="s">
        <v>187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6"/>
  <sheetViews>
    <sheetView workbookViewId="0"/>
  </sheetViews>
  <sheetFormatPr defaultRowHeight="14"/>
  <cols>
    <col min="1" max="1" width="16" customWidth="1"/>
    <col min="2" max="2" width="10" customWidth="1"/>
    <col min="3" max="3" width="30" customWidth="1"/>
    <col min="4" max="4" width="18" customWidth="1"/>
    <col min="5" max="5" width="48" customWidth="1"/>
    <col min="6" max="8" width="28" customWidth="1"/>
    <col min="9" max="12" width="16" customWidth="1"/>
  </cols>
  <sheetData>
    <row r="1" spans="1:12" ht="36">
      <c r="A1" s="12" t="s">
        <v>188</v>
      </c>
      <c r="B1" s="12" t="s">
        <v>763</v>
      </c>
      <c r="C1" s="12" t="s">
        <v>764</v>
      </c>
      <c r="D1" s="12" t="s">
        <v>765</v>
      </c>
      <c r="E1" s="12" t="s">
        <v>766</v>
      </c>
      <c r="F1" s="12" t="s">
        <v>767</v>
      </c>
      <c r="G1" s="12" t="s">
        <v>768</v>
      </c>
      <c r="H1" s="13"/>
      <c r="I1" s="13"/>
      <c r="J1" s="13"/>
      <c r="K1" s="13"/>
      <c r="L1" s="13"/>
    </row>
    <row r="2" spans="1:12">
      <c r="A2" t="s">
        <v>189</v>
      </c>
    </row>
    <row r="3" spans="1:12">
      <c r="A3" s="11" t="s">
        <v>190</v>
      </c>
      <c r="B3" s="11" t="s">
        <v>191</v>
      </c>
      <c r="C3" s="11" t="s">
        <v>192</v>
      </c>
      <c r="D3" s="11" t="s">
        <v>121</v>
      </c>
      <c r="E3" s="11" t="s">
        <v>193</v>
      </c>
      <c r="F3" s="11" t="s">
        <v>194</v>
      </c>
      <c r="G3" s="11" t="s">
        <v>195</v>
      </c>
      <c r="H3" s="11" t="s">
        <v>196</v>
      </c>
      <c r="I3" s="11" t="s">
        <v>197</v>
      </c>
      <c r="J3" s="11" t="s">
        <v>128</v>
      </c>
      <c r="K3" s="11" t="s">
        <v>198</v>
      </c>
      <c r="L3" s="11" t="s">
        <v>199</v>
      </c>
    </row>
    <row r="4" spans="1:12">
      <c r="A4" t="s">
        <v>200</v>
      </c>
      <c r="B4">
        <v>1</v>
      </c>
      <c r="C4" t="s">
        <v>25</v>
      </c>
      <c r="D4" t="s">
        <v>201</v>
      </c>
      <c r="E4" t="s">
        <v>202</v>
      </c>
      <c r="F4" t="s">
        <v>178</v>
      </c>
      <c r="H4" t="s">
        <v>203</v>
      </c>
      <c r="I4" t="s">
        <v>16</v>
      </c>
      <c r="J4" t="s">
        <v>20</v>
      </c>
      <c r="K4">
        <v>1</v>
      </c>
    </row>
    <row r="5" spans="1:12">
      <c r="A5" t="s">
        <v>203</v>
      </c>
      <c r="B5">
        <v>2</v>
      </c>
      <c r="C5" t="s">
        <v>25</v>
      </c>
      <c r="D5" t="s">
        <v>204</v>
      </c>
      <c r="E5" t="s">
        <v>205</v>
      </c>
      <c r="F5" t="s">
        <v>206</v>
      </c>
      <c r="G5" t="s">
        <v>200</v>
      </c>
      <c r="H5" t="s">
        <v>207</v>
      </c>
      <c r="I5" t="s">
        <v>16</v>
      </c>
      <c r="J5" t="s">
        <v>20</v>
      </c>
      <c r="K5">
        <v>2</v>
      </c>
    </row>
    <row r="6" spans="1:12">
      <c r="A6" t="s">
        <v>207</v>
      </c>
      <c r="B6">
        <v>3</v>
      </c>
      <c r="C6" t="s">
        <v>25</v>
      </c>
      <c r="D6" t="s">
        <v>208</v>
      </c>
      <c r="E6" t="s">
        <v>209</v>
      </c>
      <c r="F6" t="s">
        <v>206</v>
      </c>
      <c r="G6" t="s">
        <v>203</v>
      </c>
      <c r="H6" t="s">
        <v>210</v>
      </c>
      <c r="I6" t="s">
        <v>16</v>
      </c>
      <c r="J6" t="s">
        <v>20</v>
      </c>
      <c r="K6">
        <v>3</v>
      </c>
    </row>
    <row r="7" spans="1:12">
      <c r="A7" t="s">
        <v>210</v>
      </c>
      <c r="B7">
        <v>4</v>
      </c>
      <c r="C7" t="s">
        <v>25</v>
      </c>
      <c r="D7" t="s">
        <v>211</v>
      </c>
      <c r="E7" t="s">
        <v>212</v>
      </c>
      <c r="F7" t="s">
        <v>178</v>
      </c>
      <c r="G7" t="s">
        <v>207</v>
      </c>
      <c r="H7" t="s">
        <v>213</v>
      </c>
      <c r="I7" t="s">
        <v>16</v>
      </c>
      <c r="J7" t="s">
        <v>20</v>
      </c>
      <c r="K7">
        <v>4</v>
      </c>
    </row>
    <row r="8" spans="1:12">
      <c r="A8" t="s">
        <v>214</v>
      </c>
      <c r="B8">
        <v>5</v>
      </c>
      <c r="C8" t="s">
        <v>25</v>
      </c>
      <c r="D8" t="s">
        <v>215</v>
      </c>
      <c r="E8" t="s">
        <v>216</v>
      </c>
      <c r="F8" t="s">
        <v>217</v>
      </c>
      <c r="G8" t="s">
        <v>210</v>
      </c>
      <c r="H8" t="s">
        <v>218</v>
      </c>
      <c r="I8" t="s">
        <v>16</v>
      </c>
      <c r="J8" t="s">
        <v>20</v>
      </c>
      <c r="K8">
        <v>5</v>
      </c>
    </row>
    <row r="9" spans="1:12">
      <c r="A9" t="s">
        <v>219</v>
      </c>
      <c r="B9">
        <v>6</v>
      </c>
      <c r="C9" t="s">
        <v>25</v>
      </c>
      <c r="D9" t="s">
        <v>220</v>
      </c>
      <c r="E9" t="s">
        <v>221</v>
      </c>
      <c r="F9" t="s">
        <v>217</v>
      </c>
      <c r="G9" t="s">
        <v>207</v>
      </c>
      <c r="H9" t="s">
        <v>222</v>
      </c>
      <c r="I9" t="s">
        <v>16</v>
      </c>
      <c r="J9" t="s">
        <v>20</v>
      </c>
      <c r="K9">
        <v>6</v>
      </c>
    </row>
    <row r="10" spans="1:12">
      <c r="A10" t="s">
        <v>223</v>
      </c>
      <c r="B10">
        <v>7</v>
      </c>
      <c r="C10" t="s">
        <v>25</v>
      </c>
      <c r="D10" t="s">
        <v>224</v>
      </c>
      <c r="E10" t="s">
        <v>225</v>
      </c>
      <c r="F10" t="s">
        <v>226</v>
      </c>
      <c r="G10" t="s">
        <v>210</v>
      </c>
      <c r="H10" t="s">
        <v>227</v>
      </c>
      <c r="I10" t="s">
        <v>16</v>
      </c>
      <c r="J10" t="s">
        <v>20</v>
      </c>
      <c r="K10">
        <v>7</v>
      </c>
    </row>
    <row r="11" spans="1:12">
      <c r="A11" t="s">
        <v>228</v>
      </c>
      <c r="B11">
        <v>8</v>
      </c>
      <c r="C11" t="s">
        <v>25</v>
      </c>
      <c r="D11" t="s">
        <v>229</v>
      </c>
      <c r="E11" t="s">
        <v>230</v>
      </c>
      <c r="F11" t="s">
        <v>231</v>
      </c>
      <c r="G11" t="s">
        <v>214</v>
      </c>
      <c r="H11" t="s">
        <v>232</v>
      </c>
      <c r="I11" t="s">
        <v>16</v>
      </c>
      <c r="J11" t="s">
        <v>20</v>
      </c>
      <c r="K11">
        <v>8</v>
      </c>
    </row>
    <row r="12" spans="1:12">
      <c r="A12" t="s">
        <v>233</v>
      </c>
      <c r="B12">
        <v>9</v>
      </c>
      <c r="C12" t="s">
        <v>25</v>
      </c>
      <c r="D12" t="s">
        <v>234</v>
      </c>
      <c r="E12" t="s">
        <v>235</v>
      </c>
      <c r="F12" t="s">
        <v>206</v>
      </c>
      <c r="G12" t="s">
        <v>214</v>
      </c>
      <c r="H12" t="s">
        <v>232</v>
      </c>
      <c r="I12" t="s">
        <v>16</v>
      </c>
      <c r="J12" t="s">
        <v>20</v>
      </c>
      <c r="K12">
        <v>9</v>
      </c>
    </row>
    <row r="13" spans="1:12">
      <c r="A13" t="s">
        <v>236</v>
      </c>
      <c r="B13">
        <v>10</v>
      </c>
      <c r="C13" t="s">
        <v>37</v>
      </c>
      <c r="D13" t="s">
        <v>237</v>
      </c>
      <c r="E13" t="s">
        <v>238</v>
      </c>
      <c r="F13" t="s">
        <v>239</v>
      </c>
      <c r="G13" t="s">
        <v>219</v>
      </c>
      <c r="H13" t="s">
        <v>240</v>
      </c>
      <c r="I13" t="s">
        <v>16</v>
      </c>
      <c r="J13" t="s">
        <v>20</v>
      </c>
      <c r="K13">
        <v>10</v>
      </c>
    </row>
    <row r="14" spans="1:12">
      <c r="A14" t="s">
        <v>241</v>
      </c>
      <c r="B14">
        <v>11</v>
      </c>
      <c r="C14" t="s">
        <v>37</v>
      </c>
      <c r="D14" t="s">
        <v>242</v>
      </c>
      <c r="E14" t="s">
        <v>243</v>
      </c>
      <c r="F14" t="s">
        <v>239</v>
      </c>
      <c r="G14" t="s">
        <v>219</v>
      </c>
      <c r="H14" t="s">
        <v>244</v>
      </c>
      <c r="I14" t="s">
        <v>16</v>
      </c>
      <c r="J14" t="s">
        <v>20</v>
      </c>
      <c r="K14">
        <v>11</v>
      </c>
    </row>
    <row r="15" spans="1:12">
      <c r="A15" t="s">
        <v>245</v>
      </c>
      <c r="B15">
        <v>12</v>
      </c>
      <c r="C15" t="s">
        <v>37</v>
      </c>
      <c r="D15" t="s">
        <v>246</v>
      </c>
      <c r="E15" t="s">
        <v>247</v>
      </c>
      <c r="F15" t="s">
        <v>248</v>
      </c>
      <c r="G15" t="s">
        <v>241</v>
      </c>
      <c r="H15" t="s">
        <v>249</v>
      </c>
      <c r="I15" t="s">
        <v>16</v>
      </c>
      <c r="J15" t="s">
        <v>20</v>
      </c>
      <c r="K15">
        <v>12</v>
      </c>
    </row>
    <row r="16" spans="1:12">
      <c r="A16" t="s">
        <v>250</v>
      </c>
      <c r="B16">
        <v>13</v>
      </c>
      <c r="C16" t="s">
        <v>37</v>
      </c>
      <c r="D16" t="s">
        <v>251</v>
      </c>
      <c r="E16" t="s">
        <v>252</v>
      </c>
      <c r="F16" t="s">
        <v>248</v>
      </c>
      <c r="G16" t="s">
        <v>245</v>
      </c>
      <c r="H16" t="s">
        <v>253</v>
      </c>
      <c r="I16" t="s">
        <v>16</v>
      </c>
      <c r="J16" t="s">
        <v>20</v>
      </c>
      <c r="K16">
        <v>13</v>
      </c>
    </row>
    <row r="17" spans="1:11">
      <c r="A17" t="s">
        <v>254</v>
      </c>
      <c r="B17">
        <v>14</v>
      </c>
      <c r="C17" t="s">
        <v>37</v>
      </c>
      <c r="D17" t="s">
        <v>255</v>
      </c>
      <c r="E17" t="s">
        <v>256</v>
      </c>
      <c r="F17" t="s">
        <v>257</v>
      </c>
      <c r="G17" t="s">
        <v>250</v>
      </c>
      <c r="H17" t="s">
        <v>258</v>
      </c>
      <c r="I17" t="s">
        <v>16</v>
      </c>
      <c r="J17" t="s">
        <v>20</v>
      </c>
      <c r="K17">
        <v>14</v>
      </c>
    </row>
    <row r="18" spans="1:11">
      <c r="A18" t="s">
        <v>240</v>
      </c>
      <c r="B18">
        <v>15</v>
      </c>
      <c r="C18" t="s">
        <v>48</v>
      </c>
      <c r="D18" t="s">
        <v>259</v>
      </c>
      <c r="E18" t="s">
        <v>260</v>
      </c>
      <c r="F18" t="s">
        <v>226</v>
      </c>
      <c r="G18" t="s">
        <v>261</v>
      </c>
      <c r="H18" t="s">
        <v>262</v>
      </c>
      <c r="I18" t="s">
        <v>16</v>
      </c>
      <c r="J18" t="s">
        <v>20</v>
      </c>
      <c r="K18">
        <v>15</v>
      </c>
    </row>
    <row r="19" spans="1:11">
      <c r="A19" t="s">
        <v>262</v>
      </c>
      <c r="B19">
        <v>16</v>
      </c>
      <c r="C19" t="s">
        <v>48</v>
      </c>
      <c r="D19" t="s">
        <v>263</v>
      </c>
      <c r="E19" t="s">
        <v>264</v>
      </c>
      <c r="F19" t="s">
        <v>239</v>
      </c>
      <c r="G19" t="s">
        <v>240</v>
      </c>
      <c r="H19" t="s">
        <v>265</v>
      </c>
      <c r="I19" t="s">
        <v>16</v>
      </c>
      <c r="J19" t="s">
        <v>20</v>
      </c>
      <c r="K19">
        <v>16</v>
      </c>
    </row>
    <row r="20" spans="1:11">
      <c r="A20" t="s">
        <v>266</v>
      </c>
      <c r="B20">
        <v>17</v>
      </c>
      <c r="C20" t="s">
        <v>48</v>
      </c>
      <c r="D20" t="s">
        <v>267</v>
      </c>
      <c r="E20" t="s">
        <v>268</v>
      </c>
      <c r="F20" t="s">
        <v>239</v>
      </c>
      <c r="G20" t="s">
        <v>269</v>
      </c>
      <c r="H20" t="s">
        <v>270</v>
      </c>
      <c r="I20" t="s">
        <v>16</v>
      </c>
      <c r="J20" t="s">
        <v>20</v>
      </c>
      <c r="K20">
        <v>17</v>
      </c>
    </row>
    <row r="21" spans="1:11">
      <c r="A21" t="s">
        <v>271</v>
      </c>
      <c r="B21">
        <v>18</v>
      </c>
      <c r="C21" t="s">
        <v>48</v>
      </c>
      <c r="D21" t="s">
        <v>272</v>
      </c>
      <c r="E21" t="s">
        <v>273</v>
      </c>
      <c r="F21" t="s">
        <v>274</v>
      </c>
      <c r="G21" t="s">
        <v>275</v>
      </c>
      <c r="H21" t="s">
        <v>276</v>
      </c>
      <c r="I21" t="s">
        <v>16</v>
      </c>
      <c r="J21" t="s">
        <v>20</v>
      </c>
      <c r="K21">
        <v>18</v>
      </c>
    </row>
    <row r="22" spans="1:11">
      <c r="A22" t="s">
        <v>277</v>
      </c>
      <c r="B22">
        <v>19</v>
      </c>
      <c r="C22" t="s">
        <v>48</v>
      </c>
      <c r="D22" t="s">
        <v>278</v>
      </c>
      <c r="E22" t="s">
        <v>279</v>
      </c>
      <c r="F22" t="s">
        <v>274</v>
      </c>
      <c r="G22" t="s">
        <v>271</v>
      </c>
      <c r="H22" t="s">
        <v>280</v>
      </c>
      <c r="I22" t="s">
        <v>16</v>
      </c>
      <c r="J22" t="s">
        <v>20</v>
      </c>
      <c r="K22">
        <v>19</v>
      </c>
    </row>
    <row r="23" spans="1:11">
      <c r="A23" t="s">
        <v>280</v>
      </c>
      <c r="B23">
        <v>20</v>
      </c>
      <c r="C23" t="s">
        <v>48</v>
      </c>
      <c r="D23" t="s">
        <v>281</v>
      </c>
      <c r="E23" t="s">
        <v>282</v>
      </c>
      <c r="F23" t="s">
        <v>283</v>
      </c>
      <c r="G23" t="s">
        <v>277</v>
      </c>
      <c r="H23" t="s">
        <v>284</v>
      </c>
      <c r="I23" t="s">
        <v>16</v>
      </c>
      <c r="J23" t="s">
        <v>20</v>
      </c>
      <c r="K23">
        <v>20</v>
      </c>
    </row>
    <row r="24" spans="1:11">
      <c r="A24" t="s">
        <v>285</v>
      </c>
      <c r="B24">
        <v>21</v>
      </c>
      <c r="C24" t="s">
        <v>48</v>
      </c>
      <c r="D24" t="s">
        <v>286</v>
      </c>
      <c r="E24" t="s">
        <v>287</v>
      </c>
      <c r="F24" t="s">
        <v>206</v>
      </c>
      <c r="G24" t="s">
        <v>265</v>
      </c>
      <c r="H24" t="s">
        <v>288</v>
      </c>
      <c r="I24" t="s">
        <v>16</v>
      </c>
      <c r="J24" t="s">
        <v>20</v>
      </c>
      <c r="K24">
        <v>21</v>
      </c>
    </row>
    <row r="25" spans="1:11">
      <c r="A25" t="s">
        <v>288</v>
      </c>
      <c r="B25">
        <v>22</v>
      </c>
      <c r="C25" t="s">
        <v>48</v>
      </c>
      <c r="D25" t="s">
        <v>289</v>
      </c>
      <c r="E25" t="s">
        <v>290</v>
      </c>
      <c r="F25" t="s">
        <v>239</v>
      </c>
      <c r="G25" t="s">
        <v>285</v>
      </c>
      <c r="H25" t="s">
        <v>291</v>
      </c>
      <c r="I25" t="s">
        <v>16</v>
      </c>
      <c r="J25" t="s">
        <v>20</v>
      </c>
      <c r="K25">
        <v>22</v>
      </c>
    </row>
    <row r="26" spans="1:11">
      <c r="A26" t="s">
        <v>291</v>
      </c>
      <c r="B26">
        <v>23</v>
      </c>
      <c r="C26" t="s">
        <v>48</v>
      </c>
      <c r="D26" t="s">
        <v>292</v>
      </c>
      <c r="E26" t="s">
        <v>293</v>
      </c>
      <c r="F26" t="s">
        <v>206</v>
      </c>
      <c r="G26" t="s">
        <v>288</v>
      </c>
      <c r="H26" t="s">
        <v>294</v>
      </c>
      <c r="I26" t="s">
        <v>16</v>
      </c>
      <c r="J26" t="s">
        <v>20</v>
      </c>
      <c r="K26">
        <v>23</v>
      </c>
    </row>
    <row r="27" spans="1:11">
      <c r="A27" t="s">
        <v>294</v>
      </c>
      <c r="B27">
        <v>24</v>
      </c>
      <c r="C27" t="s">
        <v>48</v>
      </c>
      <c r="D27" t="s">
        <v>295</v>
      </c>
      <c r="E27" t="s">
        <v>296</v>
      </c>
      <c r="F27" t="s">
        <v>297</v>
      </c>
      <c r="G27" t="s">
        <v>298</v>
      </c>
      <c r="H27" t="s">
        <v>299</v>
      </c>
      <c r="I27" t="s">
        <v>16</v>
      </c>
      <c r="J27" t="s">
        <v>20</v>
      </c>
      <c r="K27">
        <v>24</v>
      </c>
    </row>
    <row r="28" spans="1:11">
      <c r="A28" t="s">
        <v>299</v>
      </c>
      <c r="B28">
        <v>25</v>
      </c>
      <c r="C28" t="s">
        <v>48</v>
      </c>
      <c r="D28" t="s">
        <v>300</v>
      </c>
      <c r="E28" t="s">
        <v>301</v>
      </c>
      <c r="F28" t="s">
        <v>302</v>
      </c>
      <c r="G28" t="s">
        <v>294</v>
      </c>
      <c r="H28" t="s">
        <v>303</v>
      </c>
      <c r="I28" t="s">
        <v>16</v>
      </c>
      <c r="J28" t="s">
        <v>20</v>
      </c>
      <c r="K28">
        <v>25</v>
      </c>
    </row>
    <row r="29" spans="1:11">
      <c r="A29" t="s">
        <v>304</v>
      </c>
      <c r="B29">
        <v>26</v>
      </c>
      <c r="C29" t="s">
        <v>58</v>
      </c>
      <c r="D29" t="s">
        <v>305</v>
      </c>
      <c r="E29" t="s">
        <v>306</v>
      </c>
      <c r="F29" t="s">
        <v>239</v>
      </c>
      <c r="G29" t="s">
        <v>299</v>
      </c>
      <c r="H29" t="s">
        <v>307</v>
      </c>
      <c r="I29" t="s">
        <v>16</v>
      </c>
      <c r="J29" t="s">
        <v>20</v>
      </c>
      <c r="K29">
        <v>26</v>
      </c>
    </row>
    <row r="30" spans="1:11">
      <c r="A30" t="s">
        <v>308</v>
      </c>
      <c r="B30">
        <v>27</v>
      </c>
      <c r="C30" t="s">
        <v>58</v>
      </c>
      <c r="D30" t="s">
        <v>309</v>
      </c>
      <c r="E30" t="s">
        <v>310</v>
      </c>
      <c r="F30" t="s">
        <v>311</v>
      </c>
      <c r="G30" t="s">
        <v>304</v>
      </c>
      <c r="H30" t="s">
        <v>312</v>
      </c>
      <c r="I30" t="s">
        <v>16</v>
      </c>
      <c r="J30" t="s">
        <v>20</v>
      </c>
      <c r="K30">
        <v>27</v>
      </c>
    </row>
    <row r="31" spans="1:11">
      <c r="A31" t="s">
        <v>313</v>
      </c>
      <c r="B31">
        <v>28</v>
      </c>
      <c r="C31" t="s">
        <v>58</v>
      </c>
      <c r="D31" t="s">
        <v>314</v>
      </c>
      <c r="E31" t="s">
        <v>315</v>
      </c>
      <c r="F31" t="s">
        <v>206</v>
      </c>
      <c r="G31" t="s">
        <v>299</v>
      </c>
      <c r="H31" t="s">
        <v>312</v>
      </c>
      <c r="I31" t="s">
        <v>16</v>
      </c>
      <c r="J31" t="s">
        <v>20</v>
      </c>
      <c r="K31">
        <v>28</v>
      </c>
    </row>
    <row r="32" spans="1:11">
      <c r="A32" t="s">
        <v>312</v>
      </c>
      <c r="B32">
        <v>29</v>
      </c>
      <c r="C32" t="s">
        <v>58</v>
      </c>
      <c r="D32" t="s">
        <v>316</v>
      </c>
      <c r="E32" t="s">
        <v>317</v>
      </c>
      <c r="F32" t="s">
        <v>248</v>
      </c>
      <c r="G32" t="s">
        <v>318</v>
      </c>
      <c r="H32" t="s">
        <v>319</v>
      </c>
      <c r="I32" t="s">
        <v>16</v>
      </c>
      <c r="J32" t="s">
        <v>20</v>
      </c>
      <c r="K32">
        <v>29</v>
      </c>
    </row>
    <row r="33" spans="1:11">
      <c r="A33" t="s">
        <v>319</v>
      </c>
      <c r="B33">
        <v>30</v>
      </c>
      <c r="C33" t="s">
        <v>58</v>
      </c>
      <c r="D33" t="s">
        <v>259</v>
      </c>
      <c r="E33" t="s">
        <v>320</v>
      </c>
      <c r="F33" t="s">
        <v>226</v>
      </c>
      <c r="G33" t="s">
        <v>321</v>
      </c>
      <c r="H33" t="s">
        <v>322</v>
      </c>
      <c r="I33" t="s">
        <v>16</v>
      </c>
      <c r="J33" t="s">
        <v>20</v>
      </c>
      <c r="K33">
        <v>30</v>
      </c>
    </row>
    <row r="34" spans="1:11">
      <c r="A34" t="s">
        <v>322</v>
      </c>
      <c r="B34">
        <v>31</v>
      </c>
      <c r="C34" t="s">
        <v>58</v>
      </c>
      <c r="D34" t="s">
        <v>263</v>
      </c>
      <c r="E34" t="s">
        <v>323</v>
      </c>
      <c r="F34" t="s">
        <v>239</v>
      </c>
      <c r="G34" t="s">
        <v>319</v>
      </c>
      <c r="H34" t="s">
        <v>324</v>
      </c>
      <c r="I34" t="s">
        <v>16</v>
      </c>
      <c r="J34" t="s">
        <v>20</v>
      </c>
      <c r="K34">
        <v>31</v>
      </c>
    </row>
    <row r="35" spans="1:11">
      <c r="A35" t="s">
        <v>325</v>
      </c>
      <c r="B35">
        <v>32</v>
      </c>
      <c r="C35" t="s">
        <v>58</v>
      </c>
      <c r="D35" t="s">
        <v>326</v>
      </c>
      <c r="E35" t="s">
        <v>327</v>
      </c>
      <c r="F35" t="s">
        <v>239</v>
      </c>
      <c r="G35" t="s">
        <v>328</v>
      </c>
      <c r="H35" t="s">
        <v>329</v>
      </c>
      <c r="I35" t="s">
        <v>16</v>
      </c>
      <c r="J35" t="s">
        <v>20</v>
      </c>
      <c r="K35">
        <v>32</v>
      </c>
    </row>
    <row r="36" spans="1:11">
      <c r="A36" t="s">
        <v>330</v>
      </c>
      <c r="B36">
        <v>33</v>
      </c>
      <c r="C36" t="s">
        <v>58</v>
      </c>
      <c r="D36" t="s">
        <v>331</v>
      </c>
      <c r="E36" t="s">
        <v>332</v>
      </c>
      <c r="F36" t="s">
        <v>274</v>
      </c>
      <c r="G36" t="s">
        <v>333</v>
      </c>
      <c r="H36" t="s">
        <v>334</v>
      </c>
      <c r="I36" t="s">
        <v>16</v>
      </c>
      <c r="J36" t="s">
        <v>20</v>
      </c>
      <c r="K36">
        <v>33</v>
      </c>
    </row>
    <row r="37" spans="1:11">
      <c r="A37" t="s">
        <v>335</v>
      </c>
      <c r="B37">
        <v>34</v>
      </c>
      <c r="C37" t="s">
        <v>58</v>
      </c>
      <c r="D37" t="s">
        <v>278</v>
      </c>
      <c r="E37" t="s">
        <v>336</v>
      </c>
      <c r="F37" t="s">
        <v>274</v>
      </c>
      <c r="G37" t="s">
        <v>330</v>
      </c>
      <c r="H37" t="s">
        <v>337</v>
      </c>
      <c r="I37" t="s">
        <v>16</v>
      </c>
      <c r="J37" t="s">
        <v>20</v>
      </c>
      <c r="K37">
        <v>34</v>
      </c>
    </row>
    <row r="38" spans="1:11">
      <c r="A38" t="s">
        <v>337</v>
      </c>
      <c r="B38">
        <v>35</v>
      </c>
      <c r="C38" t="s">
        <v>58</v>
      </c>
      <c r="D38" t="s">
        <v>281</v>
      </c>
      <c r="E38" t="s">
        <v>338</v>
      </c>
      <c r="F38" t="s">
        <v>283</v>
      </c>
      <c r="G38" t="s">
        <v>335</v>
      </c>
      <c r="H38" t="s">
        <v>339</v>
      </c>
      <c r="I38" t="s">
        <v>16</v>
      </c>
      <c r="J38" t="s">
        <v>20</v>
      </c>
      <c r="K38">
        <v>35</v>
      </c>
    </row>
    <row r="39" spans="1:11">
      <c r="A39" t="s">
        <v>340</v>
      </c>
      <c r="B39">
        <v>36</v>
      </c>
      <c r="C39" t="s">
        <v>58</v>
      </c>
      <c r="D39" t="s">
        <v>286</v>
      </c>
      <c r="E39" t="s">
        <v>341</v>
      </c>
      <c r="F39" t="s">
        <v>206</v>
      </c>
      <c r="G39" t="s">
        <v>324</v>
      </c>
      <c r="H39" t="s">
        <v>342</v>
      </c>
      <c r="I39" t="s">
        <v>16</v>
      </c>
      <c r="J39" t="s">
        <v>20</v>
      </c>
      <c r="K39">
        <v>36</v>
      </c>
    </row>
    <row r="40" spans="1:11">
      <c r="A40" t="s">
        <v>342</v>
      </c>
      <c r="B40">
        <v>37</v>
      </c>
      <c r="C40" t="s">
        <v>58</v>
      </c>
      <c r="D40" t="s">
        <v>289</v>
      </c>
      <c r="E40" t="s">
        <v>343</v>
      </c>
      <c r="F40" t="s">
        <v>239</v>
      </c>
      <c r="G40" t="s">
        <v>340</v>
      </c>
      <c r="H40" t="s">
        <v>344</v>
      </c>
      <c r="I40" t="s">
        <v>16</v>
      </c>
      <c r="J40" t="s">
        <v>20</v>
      </c>
      <c r="K40">
        <v>37</v>
      </c>
    </row>
    <row r="41" spans="1:11">
      <c r="A41" t="s">
        <v>344</v>
      </c>
      <c r="B41">
        <v>38</v>
      </c>
      <c r="C41" t="s">
        <v>58</v>
      </c>
      <c r="D41" t="s">
        <v>292</v>
      </c>
      <c r="E41" t="s">
        <v>345</v>
      </c>
      <c r="F41" t="s">
        <v>206</v>
      </c>
      <c r="G41" t="s">
        <v>342</v>
      </c>
      <c r="H41" t="s">
        <v>346</v>
      </c>
      <c r="I41" t="s">
        <v>16</v>
      </c>
      <c r="J41" t="s">
        <v>20</v>
      </c>
      <c r="K41">
        <v>38</v>
      </c>
    </row>
    <row r="42" spans="1:11">
      <c r="A42" t="s">
        <v>346</v>
      </c>
      <c r="B42">
        <v>39</v>
      </c>
      <c r="C42" t="s">
        <v>58</v>
      </c>
      <c r="D42" t="s">
        <v>295</v>
      </c>
      <c r="E42" t="s">
        <v>347</v>
      </c>
      <c r="F42" t="s">
        <v>297</v>
      </c>
      <c r="G42" t="s">
        <v>348</v>
      </c>
      <c r="H42" t="s">
        <v>349</v>
      </c>
      <c r="I42" t="s">
        <v>16</v>
      </c>
      <c r="J42" t="s">
        <v>20</v>
      </c>
      <c r="K42">
        <v>39</v>
      </c>
    </row>
    <row r="43" spans="1:11">
      <c r="A43" t="s">
        <v>349</v>
      </c>
      <c r="B43">
        <v>40</v>
      </c>
      <c r="C43" t="s">
        <v>58</v>
      </c>
      <c r="D43" t="s">
        <v>350</v>
      </c>
      <c r="E43" t="s">
        <v>351</v>
      </c>
      <c r="F43" t="s">
        <v>302</v>
      </c>
      <c r="G43" t="s">
        <v>346</v>
      </c>
      <c r="H43" t="s">
        <v>352</v>
      </c>
      <c r="I43" t="s">
        <v>16</v>
      </c>
      <c r="J43" t="s">
        <v>20</v>
      </c>
      <c r="K43">
        <v>40</v>
      </c>
    </row>
    <row r="44" spans="1:11">
      <c r="A44" t="s">
        <v>353</v>
      </c>
      <c r="B44">
        <v>41</v>
      </c>
      <c r="C44" t="s">
        <v>65</v>
      </c>
      <c r="D44" t="s">
        <v>354</v>
      </c>
      <c r="E44" t="s">
        <v>355</v>
      </c>
      <c r="F44" t="s">
        <v>356</v>
      </c>
      <c r="G44" t="s">
        <v>357</v>
      </c>
      <c r="H44" t="s">
        <v>358</v>
      </c>
      <c r="I44" t="s">
        <v>16</v>
      </c>
      <c r="J44" t="s">
        <v>20</v>
      </c>
      <c r="K44">
        <v>41</v>
      </c>
    </row>
    <row r="45" spans="1:11">
      <c r="A45" t="s">
        <v>359</v>
      </c>
      <c r="B45">
        <v>42</v>
      </c>
      <c r="C45" t="s">
        <v>65</v>
      </c>
      <c r="D45" t="s">
        <v>360</v>
      </c>
      <c r="E45" t="s">
        <v>361</v>
      </c>
      <c r="F45" t="s">
        <v>206</v>
      </c>
      <c r="G45" t="s">
        <v>349</v>
      </c>
      <c r="H45" t="s">
        <v>362</v>
      </c>
      <c r="I45" t="s">
        <v>16</v>
      </c>
      <c r="J45" t="s">
        <v>20</v>
      </c>
      <c r="K45">
        <v>42</v>
      </c>
    </row>
    <row r="46" spans="1:11">
      <c r="A46" t="s">
        <v>362</v>
      </c>
      <c r="B46">
        <v>43</v>
      </c>
      <c r="C46" t="s">
        <v>65</v>
      </c>
      <c r="D46" t="s">
        <v>363</v>
      </c>
      <c r="E46" t="s">
        <v>364</v>
      </c>
      <c r="F46" t="s">
        <v>248</v>
      </c>
      <c r="G46" t="s">
        <v>365</v>
      </c>
      <c r="H46" t="s">
        <v>366</v>
      </c>
      <c r="I46" t="s">
        <v>16</v>
      </c>
      <c r="J46" t="s">
        <v>20</v>
      </c>
      <c r="K46">
        <v>43</v>
      </c>
    </row>
    <row r="47" spans="1:11">
      <c r="A47" t="s">
        <v>366</v>
      </c>
      <c r="B47">
        <v>44</v>
      </c>
      <c r="C47" t="s">
        <v>65</v>
      </c>
      <c r="D47" t="s">
        <v>367</v>
      </c>
      <c r="E47" t="s">
        <v>256</v>
      </c>
      <c r="F47" t="s">
        <v>257</v>
      </c>
      <c r="G47" t="s">
        <v>368</v>
      </c>
      <c r="H47" t="s">
        <v>358</v>
      </c>
      <c r="I47" t="s">
        <v>16</v>
      </c>
      <c r="J47" t="s">
        <v>20</v>
      </c>
      <c r="K47">
        <v>44</v>
      </c>
    </row>
    <row r="48" spans="1:11">
      <c r="A48" t="s">
        <v>358</v>
      </c>
      <c r="B48">
        <v>45</v>
      </c>
      <c r="C48" t="s">
        <v>65</v>
      </c>
      <c r="D48" t="s">
        <v>259</v>
      </c>
      <c r="E48" t="s">
        <v>369</v>
      </c>
      <c r="F48" t="s">
        <v>226</v>
      </c>
      <c r="G48" t="s">
        <v>370</v>
      </c>
      <c r="H48" t="s">
        <v>371</v>
      </c>
      <c r="I48" t="s">
        <v>16</v>
      </c>
      <c r="J48" t="s">
        <v>20</v>
      </c>
      <c r="K48">
        <v>45</v>
      </c>
    </row>
    <row r="49" spans="1:11">
      <c r="A49" t="s">
        <v>371</v>
      </c>
      <c r="B49">
        <v>46</v>
      </c>
      <c r="C49" t="s">
        <v>65</v>
      </c>
      <c r="D49" t="s">
        <v>263</v>
      </c>
      <c r="E49" t="s">
        <v>372</v>
      </c>
      <c r="F49" t="s">
        <v>239</v>
      </c>
      <c r="G49" t="s">
        <v>358</v>
      </c>
      <c r="H49" t="s">
        <v>373</v>
      </c>
      <c r="I49" t="s">
        <v>16</v>
      </c>
      <c r="J49" t="s">
        <v>20</v>
      </c>
      <c r="K49">
        <v>46</v>
      </c>
    </row>
    <row r="50" spans="1:11">
      <c r="A50" t="s">
        <v>374</v>
      </c>
      <c r="B50">
        <v>47</v>
      </c>
      <c r="C50" t="s">
        <v>65</v>
      </c>
      <c r="D50" t="s">
        <v>375</v>
      </c>
      <c r="E50" t="s">
        <v>376</v>
      </c>
      <c r="F50" t="s">
        <v>239</v>
      </c>
      <c r="G50" t="s">
        <v>377</v>
      </c>
      <c r="H50" t="s">
        <v>378</v>
      </c>
      <c r="I50" t="s">
        <v>16</v>
      </c>
      <c r="J50" t="s">
        <v>20</v>
      </c>
      <c r="K50">
        <v>47</v>
      </c>
    </row>
    <row r="51" spans="1:11">
      <c r="A51" t="s">
        <v>379</v>
      </c>
      <c r="B51">
        <v>48</v>
      </c>
      <c r="C51" t="s">
        <v>65</v>
      </c>
      <c r="D51" t="s">
        <v>380</v>
      </c>
      <c r="E51" t="s">
        <v>381</v>
      </c>
      <c r="F51" t="s">
        <v>274</v>
      </c>
      <c r="G51" t="s">
        <v>382</v>
      </c>
      <c r="H51" t="s">
        <v>383</v>
      </c>
      <c r="I51" t="s">
        <v>16</v>
      </c>
      <c r="J51" t="s">
        <v>20</v>
      </c>
      <c r="K51">
        <v>48</v>
      </c>
    </row>
    <row r="52" spans="1:11">
      <c r="A52" t="s">
        <v>384</v>
      </c>
      <c r="B52">
        <v>49</v>
      </c>
      <c r="C52" t="s">
        <v>65</v>
      </c>
      <c r="D52" t="s">
        <v>278</v>
      </c>
      <c r="E52" t="s">
        <v>385</v>
      </c>
      <c r="F52" t="s">
        <v>274</v>
      </c>
      <c r="G52" t="s">
        <v>379</v>
      </c>
      <c r="H52" t="s">
        <v>386</v>
      </c>
      <c r="I52" t="s">
        <v>16</v>
      </c>
      <c r="J52" t="s">
        <v>20</v>
      </c>
      <c r="K52">
        <v>49</v>
      </c>
    </row>
    <row r="53" spans="1:11">
      <c r="A53" t="s">
        <v>386</v>
      </c>
      <c r="B53">
        <v>50</v>
      </c>
      <c r="C53" t="s">
        <v>65</v>
      </c>
      <c r="D53" t="s">
        <v>281</v>
      </c>
      <c r="E53" t="s">
        <v>387</v>
      </c>
      <c r="F53" t="s">
        <v>283</v>
      </c>
      <c r="G53" t="s">
        <v>384</v>
      </c>
      <c r="H53" t="s">
        <v>388</v>
      </c>
      <c r="I53" t="s">
        <v>16</v>
      </c>
      <c r="J53" t="s">
        <v>20</v>
      </c>
      <c r="K53">
        <v>50</v>
      </c>
    </row>
    <row r="54" spans="1:11">
      <c r="A54" t="s">
        <v>389</v>
      </c>
      <c r="B54">
        <v>51</v>
      </c>
      <c r="C54" t="s">
        <v>65</v>
      </c>
      <c r="D54" t="s">
        <v>286</v>
      </c>
      <c r="E54" t="s">
        <v>390</v>
      </c>
      <c r="F54" t="s">
        <v>206</v>
      </c>
      <c r="G54" t="s">
        <v>373</v>
      </c>
      <c r="H54" t="s">
        <v>391</v>
      </c>
      <c r="I54" t="s">
        <v>16</v>
      </c>
      <c r="J54" t="s">
        <v>20</v>
      </c>
      <c r="K54">
        <v>51</v>
      </c>
    </row>
    <row r="55" spans="1:11">
      <c r="A55" t="s">
        <v>391</v>
      </c>
      <c r="B55">
        <v>52</v>
      </c>
      <c r="C55" t="s">
        <v>65</v>
      </c>
      <c r="D55" t="s">
        <v>289</v>
      </c>
      <c r="E55" t="s">
        <v>392</v>
      </c>
      <c r="F55" t="s">
        <v>239</v>
      </c>
      <c r="G55" t="s">
        <v>389</v>
      </c>
      <c r="H55" t="s">
        <v>393</v>
      </c>
      <c r="I55" t="s">
        <v>16</v>
      </c>
      <c r="J55" t="s">
        <v>20</v>
      </c>
      <c r="K55">
        <v>52</v>
      </c>
    </row>
    <row r="56" spans="1:11">
      <c r="A56" t="s">
        <v>393</v>
      </c>
      <c r="B56">
        <v>53</v>
      </c>
      <c r="C56" t="s">
        <v>65</v>
      </c>
      <c r="D56" t="s">
        <v>292</v>
      </c>
      <c r="E56" t="s">
        <v>394</v>
      </c>
      <c r="F56" t="s">
        <v>206</v>
      </c>
      <c r="G56" t="s">
        <v>391</v>
      </c>
      <c r="H56" t="s">
        <v>395</v>
      </c>
      <c r="I56" t="s">
        <v>16</v>
      </c>
      <c r="J56" t="s">
        <v>20</v>
      </c>
      <c r="K56">
        <v>53</v>
      </c>
    </row>
    <row r="57" spans="1:11">
      <c r="A57" t="s">
        <v>395</v>
      </c>
      <c r="B57">
        <v>54</v>
      </c>
      <c r="C57" t="s">
        <v>65</v>
      </c>
      <c r="D57" t="s">
        <v>295</v>
      </c>
      <c r="E57" t="s">
        <v>396</v>
      </c>
      <c r="F57" t="s">
        <v>297</v>
      </c>
      <c r="G57" t="s">
        <v>397</v>
      </c>
      <c r="H57" t="s">
        <v>398</v>
      </c>
      <c r="I57" t="s">
        <v>16</v>
      </c>
      <c r="J57" t="s">
        <v>20</v>
      </c>
      <c r="K57">
        <v>54</v>
      </c>
    </row>
    <row r="58" spans="1:11">
      <c r="A58" t="s">
        <v>398</v>
      </c>
      <c r="B58">
        <v>55</v>
      </c>
      <c r="C58" t="s">
        <v>65</v>
      </c>
      <c r="D58" t="s">
        <v>399</v>
      </c>
      <c r="E58" t="s">
        <v>400</v>
      </c>
      <c r="F58" t="s">
        <v>297</v>
      </c>
      <c r="G58" t="s">
        <v>395</v>
      </c>
      <c r="H58" t="s">
        <v>401</v>
      </c>
      <c r="I58" t="s">
        <v>16</v>
      </c>
      <c r="J58" t="s">
        <v>20</v>
      </c>
      <c r="K58">
        <v>55</v>
      </c>
    </row>
    <row r="59" spans="1:11">
      <c r="A59" t="s">
        <v>402</v>
      </c>
      <c r="B59">
        <v>56</v>
      </c>
      <c r="C59" t="s">
        <v>65</v>
      </c>
      <c r="D59" t="s">
        <v>403</v>
      </c>
      <c r="E59" t="s">
        <v>404</v>
      </c>
      <c r="F59" t="s">
        <v>302</v>
      </c>
      <c r="G59" t="s">
        <v>398</v>
      </c>
      <c r="H59" t="s">
        <v>405</v>
      </c>
      <c r="I59" t="s">
        <v>16</v>
      </c>
      <c r="J59" t="s">
        <v>20</v>
      </c>
      <c r="K59">
        <v>56</v>
      </c>
    </row>
    <row r="60" spans="1:11">
      <c r="A60" t="s">
        <v>406</v>
      </c>
      <c r="B60">
        <v>57</v>
      </c>
      <c r="C60" t="s">
        <v>73</v>
      </c>
      <c r="D60" t="s">
        <v>407</v>
      </c>
      <c r="E60" t="s">
        <v>408</v>
      </c>
      <c r="F60" t="s">
        <v>206</v>
      </c>
      <c r="G60" t="s">
        <v>402</v>
      </c>
      <c r="H60" t="s">
        <v>409</v>
      </c>
      <c r="I60" t="s">
        <v>16</v>
      </c>
      <c r="J60" t="s">
        <v>20</v>
      </c>
      <c r="K60">
        <v>57</v>
      </c>
    </row>
    <row r="61" spans="1:11">
      <c r="A61" t="s">
        <v>410</v>
      </c>
      <c r="B61">
        <v>58</v>
      </c>
      <c r="C61" t="s">
        <v>73</v>
      </c>
      <c r="D61" t="s">
        <v>411</v>
      </c>
      <c r="E61" t="s">
        <v>412</v>
      </c>
      <c r="F61" t="s">
        <v>413</v>
      </c>
      <c r="G61" t="s">
        <v>398</v>
      </c>
      <c r="H61" t="s">
        <v>414</v>
      </c>
      <c r="I61" t="s">
        <v>16</v>
      </c>
      <c r="J61" t="s">
        <v>20</v>
      </c>
      <c r="K61">
        <v>58</v>
      </c>
    </row>
    <row r="62" spans="1:11">
      <c r="A62" t="s">
        <v>415</v>
      </c>
      <c r="B62">
        <v>59</v>
      </c>
      <c r="C62" t="s">
        <v>73</v>
      </c>
      <c r="D62" t="s">
        <v>416</v>
      </c>
      <c r="E62" t="s">
        <v>417</v>
      </c>
      <c r="F62" t="s">
        <v>178</v>
      </c>
      <c r="G62" t="s">
        <v>406</v>
      </c>
      <c r="H62" t="s">
        <v>414</v>
      </c>
      <c r="I62" t="s">
        <v>16</v>
      </c>
      <c r="J62" t="s">
        <v>20</v>
      </c>
      <c r="K62">
        <v>59</v>
      </c>
    </row>
    <row r="63" spans="1:11">
      <c r="A63" t="s">
        <v>418</v>
      </c>
      <c r="B63">
        <v>60</v>
      </c>
      <c r="C63" t="s">
        <v>73</v>
      </c>
      <c r="D63" t="s">
        <v>419</v>
      </c>
      <c r="E63" t="s">
        <v>420</v>
      </c>
      <c r="F63" t="s">
        <v>421</v>
      </c>
      <c r="G63" t="s">
        <v>422</v>
      </c>
      <c r="H63" t="s">
        <v>414</v>
      </c>
      <c r="I63" t="s">
        <v>16</v>
      </c>
      <c r="J63" t="s">
        <v>20</v>
      </c>
      <c r="K63">
        <v>60</v>
      </c>
    </row>
    <row r="64" spans="1:11">
      <c r="A64" t="s">
        <v>423</v>
      </c>
      <c r="B64">
        <v>61</v>
      </c>
      <c r="C64" t="s">
        <v>73</v>
      </c>
      <c r="D64" t="s">
        <v>424</v>
      </c>
      <c r="E64" t="s">
        <v>424</v>
      </c>
      <c r="F64" t="s">
        <v>425</v>
      </c>
      <c r="G64" t="s">
        <v>426</v>
      </c>
      <c r="H64" t="s">
        <v>414</v>
      </c>
      <c r="I64" t="s">
        <v>16</v>
      </c>
      <c r="J64" t="s">
        <v>20</v>
      </c>
      <c r="K64">
        <v>61</v>
      </c>
    </row>
    <row r="65" spans="1:11">
      <c r="A65" t="s">
        <v>427</v>
      </c>
      <c r="B65">
        <v>62</v>
      </c>
      <c r="C65" t="s">
        <v>73</v>
      </c>
      <c r="D65" t="s">
        <v>428</v>
      </c>
      <c r="E65" t="s">
        <v>429</v>
      </c>
      <c r="F65" t="s">
        <v>430</v>
      </c>
      <c r="G65" t="s">
        <v>426</v>
      </c>
      <c r="H65" t="s">
        <v>414</v>
      </c>
      <c r="I65" t="s">
        <v>16</v>
      </c>
      <c r="J65" t="s">
        <v>20</v>
      </c>
      <c r="K65">
        <v>62</v>
      </c>
    </row>
    <row r="66" spans="1:11">
      <c r="A66" t="s">
        <v>414</v>
      </c>
      <c r="B66">
        <v>63</v>
      </c>
      <c r="C66" t="s">
        <v>73</v>
      </c>
      <c r="D66" t="s">
        <v>431</v>
      </c>
      <c r="E66" t="s">
        <v>431</v>
      </c>
      <c r="F66" t="s">
        <v>432</v>
      </c>
      <c r="G66" t="s">
        <v>433</v>
      </c>
      <c r="I66" t="s">
        <v>16</v>
      </c>
      <c r="J66" t="s">
        <v>20</v>
      </c>
      <c r="K66">
        <v>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selection sqref="A1:H1"/>
    </sheetView>
  </sheetViews>
  <sheetFormatPr defaultRowHeight="14"/>
  <cols>
    <col min="1" max="1" width="18" customWidth="1"/>
    <col min="2" max="2" width="16" customWidth="1"/>
    <col min="3" max="6" width="18" customWidth="1"/>
    <col min="7" max="7" width="34" customWidth="1"/>
    <col min="8" max="8" width="18" customWidth="1"/>
  </cols>
  <sheetData>
    <row r="1" spans="1:8" ht="18">
      <c r="A1" s="22" t="s">
        <v>434</v>
      </c>
      <c r="B1" s="22"/>
      <c r="C1" s="22"/>
      <c r="D1" s="22"/>
      <c r="E1" s="22"/>
      <c r="F1" s="22"/>
      <c r="G1" s="22"/>
      <c r="H1" s="22"/>
    </row>
    <row r="3" spans="1:8">
      <c r="A3" s="6" t="s">
        <v>435</v>
      </c>
      <c r="B3" s="6"/>
      <c r="C3" s="6"/>
      <c r="D3" s="6"/>
      <c r="E3" s="6"/>
      <c r="F3" s="6"/>
      <c r="G3" s="6"/>
      <c r="H3" s="6"/>
    </row>
    <row r="4" spans="1:8">
      <c r="A4" s="1" t="s">
        <v>436</v>
      </c>
      <c r="B4" s="1" t="s">
        <v>437</v>
      </c>
      <c r="C4" s="1" t="s">
        <v>438</v>
      </c>
      <c r="D4" s="1" t="s">
        <v>439</v>
      </c>
      <c r="E4" s="1" t="s">
        <v>440</v>
      </c>
    </row>
    <row r="5" spans="1:8">
      <c r="A5" t="s">
        <v>441</v>
      </c>
      <c r="B5" t="s">
        <v>18</v>
      </c>
      <c r="C5" t="s">
        <v>442</v>
      </c>
      <c r="D5" t="s">
        <v>89</v>
      </c>
      <c r="E5" t="s">
        <v>20</v>
      </c>
    </row>
    <row r="6" spans="1:8">
      <c r="A6" t="s">
        <v>443</v>
      </c>
      <c r="B6" t="s">
        <v>30</v>
      </c>
      <c r="C6" t="s">
        <v>444</v>
      </c>
      <c r="D6" t="s">
        <v>445</v>
      </c>
      <c r="E6" t="s">
        <v>20</v>
      </c>
    </row>
    <row r="7" spans="1:8">
      <c r="A7" t="s">
        <v>446</v>
      </c>
      <c r="B7" t="s">
        <v>447</v>
      </c>
      <c r="C7" t="s">
        <v>448</v>
      </c>
      <c r="D7" t="s">
        <v>449</v>
      </c>
      <c r="E7" t="s">
        <v>20</v>
      </c>
    </row>
    <row r="8" spans="1:8">
      <c r="A8" t="s">
        <v>450</v>
      </c>
      <c r="B8" t="s">
        <v>42</v>
      </c>
      <c r="C8" t="s">
        <v>451</v>
      </c>
      <c r="D8" t="s">
        <v>83</v>
      </c>
      <c r="E8" t="s">
        <v>20</v>
      </c>
    </row>
    <row r="9" spans="1:8">
      <c r="A9" t="s">
        <v>446</v>
      </c>
      <c r="B9" t="s">
        <v>452</v>
      </c>
      <c r="C9" t="s">
        <v>453</v>
      </c>
      <c r="D9" t="s">
        <v>454</v>
      </c>
      <c r="E9" t="s">
        <v>20</v>
      </c>
    </row>
    <row r="12" spans="1:8">
      <c r="A12" s="6" t="s">
        <v>455</v>
      </c>
      <c r="B12" s="6"/>
      <c r="C12" s="6"/>
      <c r="D12" s="6"/>
      <c r="E12" s="6"/>
      <c r="F12" s="6"/>
      <c r="G12" s="6"/>
      <c r="H12" s="6"/>
    </row>
    <row r="13" spans="1:8">
      <c r="A13" s="1" t="s">
        <v>456</v>
      </c>
      <c r="B13" s="1" t="s">
        <v>457</v>
      </c>
      <c r="C13" s="1" t="s">
        <v>458</v>
      </c>
      <c r="D13" s="1" t="s">
        <v>459</v>
      </c>
      <c r="E13" s="1" t="s">
        <v>3</v>
      </c>
      <c r="F13" s="1" t="s">
        <v>460</v>
      </c>
      <c r="G13" s="1" t="s">
        <v>461</v>
      </c>
      <c r="H13" s="1" t="s">
        <v>440</v>
      </c>
    </row>
    <row r="14" spans="1:8">
      <c r="A14" t="s">
        <v>462</v>
      </c>
      <c r="C14" t="s">
        <v>24</v>
      </c>
      <c r="D14" t="s">
        <v>463</v>
      </c>
      <c r="E14" t="s">
        <v>38</v>
      </c>
      <c r="H14" t="s">
        <v>20</v>
      </c>
    </row>
    <row r="15" spans="1:8">
      <c r="A15" t="s">
        <v>464</v>
      </c>
      <c r="C15" t="s">
        <v>36</v>
      </c>
      <c r="D15" t="s">
        <v>178</v>
      </c>
      <c r="E15" t="s">
        <v>38</v>
      </c>
      <c r="H15" t="s">
        <v>20</v>
      </c>
    </row>
    <row r="16" spans="1:8">
      <c r="A16" t="s">
        <v>465</v>
      </c>
      <c r="C16" t="s">
        <v>47</v>
      </c>
      <c r="D16" t="s">
        <v>463</v>
      </c>
      <c r="E16" t="s">
        <v>38</v>
      </c>
      <c r="H16" t="s">
        <v>20</v>
      </c>
    </row>
    <row r="17" spans="1:8">
      <c r="A17" t="s">
        <v>466</v>
      </c>
      <c r="C17" t="s">
        <v>76</v>
      </c>
      <c r="D17" t="s">
        <v>467</v>
      </c>
      <c r="E17" t="s">
        <v>38</v>
      </c>
      <c r="H17" t="s">
        <v>20</v>
      </c>
    </row>
    <row r="18" spans="1:8">
      <c r="A18" t="s">
        <v>468</v>
      </c>
      <c r="C18" t="s">
        <v>24</v>
      </c>
      <c r="D18" t="s">
        <v>469</v>
      </c>
      <c r="E18" t="s">
        <v>91</v>
      </c>
      <c r="H18" t="s">
        <v>20</v>
      </c>
    </row>
    <row r="21" spans="1:8">
      <c r="A21" s="6" t="s">
        <v>470</v>
      </c>
      <c r="B21" s="6"/>
      <c r="C21" s="6"/>
      <c r="D21" s="6"/>
      <c r="E21" s="6"/>
      <c r="F21" s="6"/>
      <c r="G21" s="6"/>
      <c r="H21" s="6"/>
    </row>
    <row r="22" spans="1:8">
      <c r="A22" s="1" t="s">
        <v>471</v>
      </c>
      <c r="B22" s="1" t="s">
        <v>472</v>
      </c>
      <c r="C22" s="1" t="s">
        <v>473</v>
      </c>
      <c r="D22" s="1" t="s">
        <v>474</v>
      </c>
      <c r="E22" s="1" t="s">
        <v>94</v>
      </c>
      <c r="F22" s="1" t="s">
        <v>3</v>
      </c>
      <c r="G22" s="1" t="s">
        <v>461</v>
      </c>
      <c r="H22" s="1" t="s">
        <v>440</v>
      </c>
    </row>
    <row r="23" spans="1:8">
      <c r="A23" t="s">
        <v>475</v>
      </c>
      <c r="B23" t="s">
        <v>476</v>
      </c>
      <c r="C23" t="s">
        <v>477</v>
      </c>
      <c r="F23" t="s">
        <v>83</v>
      </c>
      <c r="H23" t="s">
        <v>20</v>
      </c>
    </row>
    <row r="24" spans="1:8">
      <c r="A24" t="s">
        <v>478</v>
      </c>
      <c r="B24" t="s">
        <v>479</v>
      </c>
      <c r="C24" t="s">
        <v>480</v>
      </c>
      <c r="F24" t="s">
        <v>84</v>
      </c>
      <c r="H24" t="s">
        <v>20</v>
      </c>
    </row>
    <row r="25" spans="1:8">
      <c r="A25" t="s">
        <v>481</v>
      </c>
      <c r="B25" t="s">
        <v>482</v>
      </c>
      <c r="C25" t="s">
        <v>483</v>
      </c>
      <c r="F25" t="s">
        <v>84</v>
      </c>
      <c r="H25" t="s">
        <v>20</v>
      </c>
    </row>
    <row r="26" spans="1:8">
      <c r="A26" t="s">
        <v>484</v>
      </c>
      <c r="B26" t="s">
        <v>482</v>
      </c>
      <c r="C26" t="s">
        <v>485</v>
      </c>
      <c r="F26" t="s">
        <v>84</v>
      </c>
      <c r="H26" t="s">
        <v>20</v>
      </c>
    </row>
    <row r="27" spans="1:8">
      <c r="A27" t="s">
        <v>486</v>
      </c>
      <c r="B27" t="s">
        <v>482</v>
      </c>
      <c r="C27" t="s">
        <v>487</v>
      </c>
      <c r="F27" t="s">
        <v>28</v>
      </c>
      <c r="H27" t="s">
        <v>20</v>
      </c>
    </row>
    <row r="28" spans="1:8">
      <c r="A28" t="s">
        <v>488</v>
      </c>
      <c r="B28" t="s">
        <v>489</v>
      </c>
      <c r="C28" t="s">
        <v>490</v>
      </c>
      <c r="F28" t="s">
        <v>84</v>
      </c>
      <c r="H28" t="s">
        <v>20</v>
      </c>
    </row>
  </sheetData>
  <mergeCells count="1">
    <mergeCell ref="A1:H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26"/>
  <sheetViews>
    <sheetView workbookViewId="0">
      <selection sqref="A1:J1"/>
    </sheetView>
  </sheetViews>
  <sheetFormatPr defaultRowHeight="14"/>
  <cols>
    <col min="1" max="1" width="14" customWidth="1"/>
    <col min="2" max="2" width="16" customWidth="1"/>
    <col min="3" max="3" width="28" customWidth="1"/>
    <col min="4" max="4" width="18" customWidth="1"/>
    <col min="5" max="5" width="48" customWidth="1"/>
    <col min="6" max="6" width="28" customWidth="1"/>
    <col min="7" max="8" width="24" customWidth="1"/>
    <col min="9" max="10" width="18" customWidth="1"/>
    <col min="11" max="11" width="16" customWidth="1"/>
    <col min="12" max="12" width="30" customWidth="1"/>
    <col min="13" max="13" width="12" customWidth="1"/>
  </cols>
  <sheetData>
    <row r="1" spans="1:13" ht="18">
      <c r="A1" s="22" t="s">
        <v>491</v>
      </c>
      <c r="B1" s="22"/>
      <c r="C1" s="22"/>
      <c r="D1" s="22"/>
      <c r="E1" s="22"/>
      <c r="F1" s="22"/>
      <c r="G1" s="22"/>
      <c r="H1" s="22"/>
      <c r="I1" s="22"/>
      <c r="J1" s="22"/>
      <c r="K1" s="4"/>
      <c r="L1" s="4"/>
      <c r="M1" s="4"/>
    </row>
    <row r="3" spans="1:13">
      <c r="A3" s="6" t="s">
        <v>492</v>
      </c>
      <c r="B3" s="6"/>
      <c r="C3" s="6"/>
      <c r="D3" s="6"/>
      <c r="E3" s="6"/>
      <c r="F3" s="6"/>
      <c r="G3" s="6"/>
      <c r="H3" s="6"/>
      <c r="I3" s="6"/>
      <c r="J3" s="6"/>
    </row>
    <row r="4" spans="1:13">
      <c r="A4" s="1" t="s">
        <v>493</v>
      </c>
      <c r="B4" s="1" t="s">
        <v>494</v>
      </c>
      <c r="C4" s="1" t="s">
        <v>440</v>
      </c>
      <c r="D4" s="1" t="s">
        <v>461</v>
      </c>
    </row>
    <row r="5" spans="1:13">
      <c r="A5" t="s">
        <v>120</v>
      </c>
      <c r="B5" t="s">
        <v>130</v>
      </c>
      <c r="C5" t="s">
        <v>20</v>
      </c>
    </row>
    <row r="6" spans="1:13">
      <c r="A6" t="s">
        <v>121</v>
      </c>
      <c r="B6" t="s">
        <v>131</v>
      </c>
      <c r="C6" t="s">
        <v>20</v>
      </c>
    </row>
    <row r="7" spans="1:13">
      <c r="A7" t="s">
        <v>122</v>
      </c>
      <c r="B7" t="s">
        <v>132</v>
      </c>
      <c r="C7" t="s">
        <v>20</v>
      </c>
    </row>
    <row r="8" spans="1:13">
      <c r="A8" t="s">
        <v>5</v>
      </c>
      <c r="B8" t="s">
        <v>18</v>
      </c>
      <c r="C8" t="s">
        <v>20</v>
      </c>
    </row>
    <row r="9" spans="1:13">
      <c r="A9" t="s">
        <v>3</v>
      </c>
      <c r="B9" t="s">
        <v>89</v>
      </c>
      <c r="C9" t="s">
        <v>20</v>
      </c>
    </row>
    <row r="10" spans="1:13">
      <c r="A10" t="s">
        <v>4</v>
      </c>
      <c r="B10" t="s">
        <v>29</v>
      </c>
      <c r="C10" t="s">
        <v>20</v>
      </c>
    </row>
    <row r="11" spans="1:13">
      <c r="A11" t="s">
        <v>6</v>
      </c>
      <c r="B11" t="s">
        <v>51</v>
      </c>
      <c r="C11" t="s">
        <v>20</v>
      </c>
    </row>
    <row r="12" spans="1:13">
      <c r="A12" t="s">
        <v>123</v>
      </c>
      <c r="B12" t="s">
        <v>133</v>
      </c>
      <c r="C12" t="s">
        <v>20</v>
      </c>
    </row>
    <row r="13" spans="1:13">
      <c r="A13" t="s">
        <v>124</v>
      </c>
      <c r="B13" t="s">
        <v>134</v>
      </c>
      <c r="C13" t="s">
        <v>20</v>
      </c>
    </row>
    <row r="14" spans="1:13">
      <c r="A14" t="s">
        <v>495</v>
      </c>
      <c r="B14" t="s">
        <v>496</v>
      </c>
      <c r="C14" t="s">
        <v>20</v>
      </c>
    </row>
    <row r="15" spans="1:13">
      <c r="A15" t="s">
        <v>125</v>
      </c>
      <c r="B15" t="s">
        <v>135</v>
      </c>
      <c r="C15" t="s">
        <v>20</v>
      </c>
    </row>
    <row r="16" spans="1:13">
      <c r="A16" t="s">
        <v>126</v>
      </c>
      <c r="B16" t="s">
        <v>136</v>
      </c>
      <c r="C16" t="s">
        <v>20</v>
      </c>
    </row>
    <row r="17" spans="1:10">
      <c r="A17" t="s">
        <v>497</v>
      </c>
      <c r="B17" t="s">
        <v>498</v>
      </c>
      <c r="C17" t="s">
        <v>20</v>
      </c>
    </row>
    <row r="18" spans="1:10">
      <c r="A18" t="s">
        <v>127</v>
      </c>
      <c r="B18" t="s">
        <v>89</v>
      </c>
      <c r="C18" t="s">
        <v>20</v>
      </c>
    </row>
    <row r="19" spans="1:10">
      <c r="A19" t="s">
        <v>128</v>
      </c>
      <c r="B19" t="s">
        <v>20</v>
      </c>
      <c r="C19" t="s">
        <v>20</v>
      </c>
      <c r="D19" t="s">
        <v>499</v>
      </c>
    </row>
    <row r="20" spans="1:10">
      <c r="A20" t="s">
        <v>500</v>
      </c>
      <c r="B20" t="s">
        <v>501</v>
      </c>
      <c r="C20" t="s">
        <v>20</v>
      </c>
    </row>
    <row r="22" spans="1:10">
      <c r="A22" s="6" t="s">
        <v>502</v>
      </c>
      <c r="B22" s="6"/>
      <c r="C22" s="6"/>
      <c r="D22" s="6"/>
      <c r="E22" s="6"/>
      <c r="F22" s="6"/>
      <c r="G22" s="6"/>
      <c r="H22" s="6"/>
      <c r="I22" s="6"/>
      <c r="J22" s="6"/>
    </row>
    <row r="23" spans="1:10">
      <c r="A23" s="1" t="s">
        <v>503</v>
      </c>
      <c r="B23" s="1" t="s">
        <v>3</v>
      </c>
      <c r="C23" s="1" t="s">
        <v>459</v>
      </c>
      <c r="D23" s="1" t="s">
        <v>126</v>
      </c>
      <c r="E23" s="1" t="s">
        <v>461</v>
      </c>
      <c r="F23" s="1" t="s">
        <v>440</v>
      </c>
    </row>
    <row r="24" spans="1:10">
      <c r="A24" t="s">
        <v>504</v>
      </c>
      <c r="F24" t="s">
        <v>20</v>
      </c>
    </row>
    <row r="25" spans="1:10">
      <c r="A25" t="s">
        <v>505</v>
      </c>
      <c r="F25" t="s">
        <v>20</v>
      </c>
    </row>
    <row r="26" spans="1:10">
      <c r="A26" t="s">
        <v>506</v>
      </c>
      <c r="F26" t="s">
        <v>20</v>
      </c>
    </row>
    <row r="27" spans="1:10">
      <c r="A27" t="s">
        <v>507</v>
      </c>
      <c r="F27" t="s">
        <v>20</v>
      </c>
    </row>
    <row r="28" spans="1:10">
      <c r="A28" t="s">
        <v>508</v>
      </c>
      <c r="F28" t="s">
        <v>20</v>
      </c>
    </row>
    <row r="29" spans="1:10">
      <c r="A29" t="s">
        <v>509</v>
      </c>
      <c r="F29" t="s">
        <v>20</v>
      </c>
    </row>
    <row r="31" spans="1:10">
      <c r="A31" s="6" t="s">
        <v>510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s="1" t="s">
        <v>10</v>
      </c>
      <c r="B32" s="1" t="s">
        <v>80</v>
      </c>
      <c r="C32" s="1" t="s">
        <v>3</v>
      </c>
      <c r="D32" s="1" t="s">
        <v>459</v>
      </c>
      <c r="E32" s="1" t="s">
        <v>511</v>
      </c>
      <c r="F32" s="1" t="s">
        <v>461</v>
      </c>
      <c r="G32" s="1" t="s">
        <v>440</v>
      </c>
    </row>
    <row r="33" spans="1:13">
      <c r="A33" t="s">
        <v>23</v>
      </c>
      <c r="B33" t="s">
        <v>32</v>
      </c>
      <c r="C33" t="s">
        <v>16</v>
      </c>
      <c r="G33" t="s">
        <v>20</v>
      </c>
    </row>
    <row r="34" spans="1:13">
      <c r="A34" t="s">
        <v>35</v>
      </c>
      <c r="B34" t="s">
        <v>32</v>
      </c>
      <c r="C34" t="s">
        <v>16</v>
      </c>
      <c r="G34" t="s">
        <v>20</v>
      </c>
    </row>
    <row r="35" spans="1:13">
      <c r="A35" t="s">
        <v>46</v>
      </c>
      <c r="B35" t="s">
        <v>32</v>
      </c>
      <c r="C35" t="s">
        <v>16</v>
      </c>
      <c r="G35" t="s">
        <v>20</v>
      </c>
    </row>
    <row r="36" spans="1:13">
      <c r="A36" t="s">
        <v>56</v>
      </c>
      <c r="B36" t="s">
        <v>32</v>
      </c>
      <c r="C36" t="s">
        <v>16</v>
      </c>
      <c r="G36" t="s">
        <v>20</v>
      </c>
    </row>
    <row r="37" spans="1:13">
      <c r="A37" t="s">
        <v>36</v>
      </c>
      <c r="B37" t="s">
        <v>32</v>
      </c>
      <c r="C37" t="s">
        <v>16</v>
      </c>
      <c r="G37" t="s">
        <v>20</v>
      </c>
    </row>
    <row r="38" spans="1:13">
      <c r="A38" t="s">
        <v>71</v>
      </c>
      <c r="B38" t="s">
        <v>32</v>
      </c>
      <c r="C38" t="s">
        <v>16</v>
      </c>
      <c r="G38" t="s">
        <v>20</v>
      </c>
    </row>
    <row r="40" spans="1:13">
      <c r="A40" s="6" t="s">
        <v>512</v>
      </c>
      <c r="B40" s="6"/>
      <c r="C40" s="6"/>
      <c r="D40" s="6"/>
      <c r="E40" s="6"/>
      <c r="F40" s="6"/>
      <c r="G40" s="6"/>
      <c r="H40" s="6"/>
      <c r="I40" s="6"/>
      <c r="J40" s="6"/>
    </row>
    <row r="41" spans="1:13">
      <c r="A41" s="1" t="s">
        <v>513</v>
      </c>
      <c r="B41" s="1" t="s">
        <v>514</v>
      </c>
      <c r="C41" s="1" t="s">
        <v>515</v>
      </c>
      <c r="D41" s="1" t="s">
        <v>3</v>
      </c>
      <c r="E41" s="1" t="s">
        <v>459</v>
      </c>
      <c r="F41" s="1" t="s">
        <v>126</v>
      </c>
      <c r="G41" s="1" t="s">
        <v>461</v>
      </c>
      <c r="H41" s="1" t="s">
        <v>440</v>
      </c>
    </row>
    <row r="42" spans="1:13">
      <c r="A42" t="s">
        <v>516</v>
      </c>
      <c r="B42">
        <v>0</v>
      </c>
      <c r="C42">
        <v>0</v>
      </c>
      <c r="D42" t="s">
        <v>16</v>
      </c>
      <c r="H42" t="s">
        <v>20</v>
      </c>
    </row>
    <row r="43" spans="1:13">
      <c r="A43" t="s">
        <v>517</v>
      </c>
      <c r="B43">
        <v>0</v>
      </c>
      <c r="C43">
        <v>0</v>
      </c>
      <c r="D43" t="s">
        <v>16</v>
      </c>
      <c r="H43" t="s">
        <v>20</v>
      </c>
    </row>
    <row r="44" spans="1:13">
      <c r="A44" t="s">
        <v>518</v>
      </c>
      <c r="B44">
        <v>0</v>
      </c>
      <c r="C44">
        <v>0</v>
      </c>
      <c r="D44" t="s">
        <v>16</v>
      </c>
      <c r="H44" t="s">
        <v>20</v>
      </c>
    </row>
    <row r="45" spans="1:13">
      <c r="A45" t="s">
        <v>519</v>
      </c>
      <c r="B45">
        <v>0</v>
      </c>
      <c r="C45">
        <v>0</v>
      </c>
      <c r="D45" t="s">
        <v>16</v>
      </c>
      <c r="H45" t="s">
        <v>20</v>
      </c>
    </row>
    <row r="47" spans="1:13">
      <c r="A47" s="6" t="s">
        <v>520</v>
      </c>
      <c r="B47" s="6"/>
      <c r="C47" s="6"/>
      <c r="D47" s="6"/>
      <c r="E47" s="6"/>
      <c r="F47" s="6"/>
      <c r="G47" s="6"/>
      <c r="H47" s="6"/>
      <c r="I47" s="6"/>
      <c r="J47" s="6"/>
    </row>
    <row r="48" spans="1:13">
      <c r="A48" s="7" t="s">
        <v>521</v>
      </c>
      <c r="B48" s="7" t="s">
        <v>190</v>
      </c>
      <c r="C48" s="7" t="s">
        <v>192</v>
      </c>
      <c r="D48" s="7" t="s">
        <v>121</v>
      </c>
      <c r="E48" s="7" t="s">
        <v>522</v>
      </c>
      <c r="F48" s="7" t="s">
        <v>523</v>
      </c>
      <c r="G48" s="7" t="s">
        <v>195</v>
      </c>
      <c r="H48" s="7" t="s">
        <v>196</v>
      </c>
      <c r="I48" s="7" t="s">
        <v>3</v>
      </c>
      <c r="J48" s="7" t="s">
        <v>459</v>
      </c>
      <c r="K48" s="11" t="s">
        <v>511</v>
      </c>
      <c r="L48" s="11" t="s">
        <v>461</v>
      </c>
      <c r="M48" s="11" t="s">
        <v>440</v>
      </c>
    </row>
    <row r="49" spans="1:13">
      <c r="A49" s="4">
        <v>1</v>
      </c>
      <c r="B49" s="4" t="s">
        <v>200</v>
      </c>
      <c r="C49" s="4" t="s">
        <v>25</v>
      </c>
      <c r="D49" s="4" t="s">
        <v>201</v>
      </c>
      <c r="E49" s="4" t="s">
        <v>202</v>
      </c>
      <c r="F49" s="4" t="s">
        <v>178</v>
      </c>
      <c r="G49" s="4"/>
      <c r="H49" s="4" t="s">
        <v>203</v>
      </c>
      <c r="I49" s="4" t="s">
        <v>16</v>
      </c>
      <c r="J49" s="4"/>
      <c r="K49" s="4"/>
      <c r="L49" s="4"/>
      <c r="M49" s="4" t="s">
        <v>20</v>
      </c>
    </row>
    <row r="50" spans="1:13">
      <c r="A50" s="4">
        <v>2</v>
      </c>
      <c r="B50" s="4" t="s">
        <v>203</v>
      </c>
      <c r="C50" s="4" t="s">
        <v>25</v>
      </c>
      <c r="D50" s="4" t="s">
        <v>204</v>
      </c>
      <c r="E50" s="4" t="s">
        <v>205</v>
      </c>
      <c r="F50" s="4" t="s">
        <v>206</v>
      </c>
      <c r="G50" s="4" t="s">
        <v>200</v>
      </c>
      <c r="H50" s="4" t="s">
        <v>207</v>
      </c>
      <c r="I50" s="4" t="s">
        <v>16</v>
      </c>
      <c r="J50" s="4"/>
      <c r="K50" s="4"/>
      <c r="L50" s="4"/>
      <c r="M50" s="4" t="s">
        <v>20</v>
      </c>
    </row>
    <row r="51" spans="1:13">
      <c r="A51" s="4">
        <v>3</v>
      </c>
      <c r="B51" s="4" t="s">
        <v>207</v>
      </c>
      <c r="C51" s="4" t="s">
        <v>25</v>
      </c>
      <c r="D51" s="4" t="s">
        <v>208</v>
      </c>
      <c r="E51" s="4" t="s">
        <v>209</v>
      </c>
      <c r="F51" s="4" t="s">
        <v>206</v>
      </c>
      <c r="G51" s="4" t="s">
        <v>203</v>
      </c>
      <c r="H51" s="4" t="s">
        <v>210</v>
      </c>
      <c r="I51" s="4" t="s">
        <v>16</v>
      </c>
      <c r="J51" s="4"/>
      <c r="K51" s="4"/>
      <c r="L51" s="4"/>
      <c r="M51" s="4" t="s">
        <v>20</v>
      </c>
    </row>
    <row r="52" spans="1:13">
      <c r="A52" s="4">
        <v>4</v>
      </c>
      <c r="B52" s="4" t="s">
        <v>210</v>
      </c>
      <c r="C52" s="4" t="s">
        <v>25</v>
      </c>
      <c r="D52" s="4" t="s">
        <v>211</v>
      </c>
      <c r="E52" s="4" t="s">
        <v>212</v>
      </c>
      <c r="F52" s="4" t="s">
        <v>178</v>
      </c>
      <c r="G52" s="4" t="s">
        <v>207</v>
      </c>
      <c r="H52" s="4" t="s">
        <v>213</v>
      </c>
      <c r="I52" s="4" t="s">
        <v>16</v>
      </c>
      <c r="J52" s="4"/>
      <c r="K52" s="4"/>
      <c r="L52" s="4"/>
      <c r="M52" s="4" t="s">
        <v>20</v>
      </c>
    </row>
    <row r="53" spans="1:13" ht="28">
      <c r="A53" s="4">
        <v>5</v>
      </c>
      <c r="B53" s="4" t="s">
        <v>214</v>
      </c>
      <c r="C53" s="4" t="s">
        <v>25</v>
      </c>
      <c r="D53" s="4" t="s">
        <v>215</v>
      </c>
      <c r="E53" s="4" t="s">
        <v>216</v>
      </c>
      <c r="F53" s="4" t="s">
        <v>217</v>
      </c>
      <c r="G53" s="4" t="s">
        <v>210</v>
      </c>
      <c r="H53" s="4" t="s">
        <v>218</v>
      </c>
      <c r="I53" s="4" t="s">
        <v>16</v>
      </c>
      <c r="J53" s="4"/>
      <c r="K53" s="4"/>
      <c r="L53" s="4"/>
      <c r="M53" s="4" t="s">
        <v>20</v>
      </c>
    </row>
    <row r="54" spans="1:13">
      <c r="A54" s="4">
        <v>6</v>
      </c>
      <c r="B54" s="4" t="s">
        <v>219</v>
      </c>
      <c r="C54" s="4" t="s">
        <v>25</v>
      </c>
      <c r="D54" s="4" t="s">
        <v>220</v>
      </c>
      <c r="E54" s="4" t="s">
        <v>221</v>
      </c>
      <c r="F54" s="4" t="s">
        <v>217</v>
      </c>
      <c r="G54" s="4" t="s">
        <v>207</v>
      </c>
      <c r="H54" s="4" t="s">
        <v>222</v>
      </c>
      <c r="I54" s="4" t="s">
        <v>16</v>
      </c>
      <c r="J54" s="4"/>
      <c r="K54" s="4"/>
      <c r="L54" s="4"/>
      <c r="M54" s="4" t="s">
        <v>20</v>
      </c>
    </row>
    <row r="55" spans="1:13" ht="28">
      <c r="A55" s="4">
        <v>7</v>
      </c>
      <c r="B55" s="4" t="s">
        <v>223</v>
      </c>
      <c r="C55" s="4" t="s">
        <v>25</v>
      </c>
      <c r="D55" s="4" t="s">
        <v>224</v>
      </c>
      <c r="E55" s="4" t="s">
        <v>225</v>
      </c>
      <c r="F55" s="4" t="s">
        <v>226</v>
      </c>
      <c r="G55" s="4" t="s">
        <v>210</v>
      </c>
      <c r="H55" s="4" t="s">
        <v>227</v>
      </c>
      <c r="I55" s="4" t="s">
        <v>16</v>
      </c>
      <c r="J55" s="4"/>
      <c r="K55" s="4"/>
      <c r="L55" s="4"/>
      <c r="M55" s="4" t="s">
        <v>20</v>
      </c>
    </row>
    <row r="56" spans="1:13">
      <c r="A56" s="4">
        <v>8</v>
      </c>
      <c r="B56" s="4" t="s">
        <v>228</v>
      </c>
      <c r="C56" s="4" t="s">
        <v>25</v>
      </c>
      <c r="D56" s="4" t="s">
        <v>229</v>
      </c>
      <c r="E56" s="4" t="s">
        <v>230</v>
      </c>
      <c r="F56" s="4" t="s">
        <v>231</v>
      </c>
      <c r="G56" s="4" t="s">
        <v>214</v>
      </c>
      <c r="H56" s="4" t="s">
        <v>232</v>
      </c>
      <c r="I56" s="4" t="s">
        <v>16</v>
      </c>
      <c r="J56" s="4"/>
      <c r="K56" s="4"/>
      <c r="L56" s="4"/>
      <c r="M56" s="4" t="s">
        <v>20</v>
      </c>
    </row>
    <row r="57" spans="1:13">
      <c r="A57" s="4">
        <v>9</v>
      </c>
      <c r="B57" s="4" t="s">
        <v>233</v>
      </c>
      <c r="C57" s="4" t="s">
        <v>25</v>
      </c>
      <c r="D57" s="4" t="s">
        <v>234</v>
      </c>
      <c r="E57" s="4" t="s">
        <v>235</v>
      </c>
      <c r="F57" s="4" t="s">
        <v>206</v>
      </c>
      <c r="G57" s="4" t="s">
        <v>214</v>
      </c>
      <c r="H57" s="4" t="s">
        <v>232</v>
      </c>
      <c r="I57" s="4" t="s">
        <v>16</v>
      </c>
      <c r="J57" s="4"/>
      <c r="K57" s="4"/>
      <c r="L57" s="4"/>
      <c r="M57" s="4" t="s">
        <v>20</v>
      </c>
    </row>
    <row r="58" spans="1:13" ht="28">
      <c r="A58" s="4">
        <v>10</v>
      </c>
      <c r="B58" s="4" t="s">
        <v>236</v>
      </c>
      <c r="C58" s="4" t="s">
        <v>37</v>
      </c>
      <c r="D58" s="4" t="s">
        <v>237</v>
      </c>
      <c r="E58" s="4" t="s">
        <v>238</v>
      </c>
      <c r="F58" s="4" t="s">
        <v>239</v>
      </c>
      <c r="G58" s="4" t="s">
        <v>219</v>
      </c>
      <c r="H58" s="4" t="s">
        <v>240</v>
      </c>
      <c r="I58" s="4" t="s">
        <v>16</v>
      </c>
      <c r="J58" s="4"/>
      <c r="K58" s="4"/>
      <c r="L58" s="4"/>
      <c r="M58" s="4" t="s">
        <v>20</v>
      </c>
    </row>
    <row r="59" spans="1:13" ht="28">
      <c r="A59" s="4">
        <v>11</v>
      </c>
      <c r="B59" s="4" t="s">
        <v>241</v>
      </c>
      <c r="C59" s="4" t="s">
        <v>37</v>
      </c>
      <c r="D59" s="4" t="s">
        <v>242</v>
      </c>
      <c r="E59" s="4" t="s">
        <v>243</v>
      </c>
      <c r="F59" s="4" t="s">
        <v>239</v>
      </c>
      <c r="G59" s="4" t="s">
        <v>219</v>
      </c>
      <c r="H59" s="4" t="s">
        <v>244</v>
      </c>
      <c r="I59" s="4" t="s">
        <v>16</v>
      </c>
      <c r="J59" s="4"/>
      <c r="K59" s="4"/>
      <c r="L59" s="4"/>
      <c r="M59" s="4" t="s">
        <v>20</v>
      </c>
    </row>
    <row r="60" spans="1:13" ht="28">
      <c r="A60" s="4">
        <v>12</v>
      </c>
      <c r="B60" s="4" t="s">
        <v>245</v>
      </c>
      <c r="C60" s="4" t="s">
        <v>37</v>
      </c>
      <c r="D60" s="4" t="s">
        <v>246</v>
      </c>
      <c r="E60" s="4" t="s">
        <v>247</v>
      </c>
      <c r="F60" s="4" t="s">
        <v>248</v>
      </c>
      <c r="G60" s="4" t="s">
        <v>241</v>
      </c>
      <c r="H60" s="4" t="s">
        <v>249</v>
      </c>
      <c r="I60" s="4" t="s">
        <v>16</v>
      </c>
      <c r="J60" s="4"/>
      <c r="K60" s="4"/>
      <c r="L60" s="4"/>
      <c r="M60" s="4" t="s">
        <v>20</v>
      </c>
    </row>
    <row r="61" spans="1:13" ht="28">
      <c r="A61" s="4">
        <v>13</v>
      </c>
      <c r="B61" s="4" t="s">
        <v>250</v>
      </c>
      <c r="C61" s="4" t="s">
        <v>37</v>
      </c>
      <c r="D61" s="4" t="s">
        <v>251</v>
      </c>
      <c r="E61" s="4" t="s">
        <v>252</v>
      </c>
      <c r="F61" s="4" t="s">
        <v>248</v>
      </c>
      <c r="G61" s="4" t="s">
        <v>245</v>
      </c>
      <c r="H61" s="4" t="s">
        <v>253</v>
      </c>
      <c r="I61" s="4" t="s">
        <v>16</v>
      </c>
      <c r="J61" s="4"/>
      <c r="K61" s="4"/>
      <c r="L61" s="4"/>
      <c r="M61" s="4" t="s">
        <v>20</v>
      </c>
    </row>
    <row r="62" spans="1:13" ht="28">
      <c r="A62" s="4">
        <v>14</v>
      </c>
      <c r="B62" s="4" t="s">
        <v>254</v>
      </c>
      <c r="C62" s="4" t="s">
        <v>37</v>
      </c>
      <c r="D62" s="4" t="s">
        <v>255</v>
      </c>
      <c r="E62" s="4" t="s">
        <v>256</v>
      </c>
      <c r="F62" s="4" t="s">
        <v>257</v>
      </c>
      <c r="G62" s="4" t="s">
        <v>250</v>
      </c>
      <c r="H62" s="4" t="s">
        <v>258</v>
      </c>
      <c r="I62" s="4" t="s">
        <v>16</v>
      </c>
      <c r="J62" s="4"/>
      <c r="K62" s="4"/>
      <c r="L62" s="4"/>
      <c r="M62" s="4" t="s">
        <v>20</v>
      </c>
    </row>
    <row r="63" spans="1:13" ht="28">
      <c r="A63" s="4">
        <v>15</v>
      </c>
      <c r="B63" s="4" t="s">
        <v>240</v>
      </c>
      <c r="C63" s="4" t="s">
        <v>48</v>
      </c>
      <c r="D63" s="4" t="s">
        <v>259</v>
      </c>
      <c r="E63" s="4" t="s">
        <v>260</v>
      </c>
      <c r="F63" s="4" t="s">
        <v>226</v>
      </c>
      <c r="G63" s="4" t="s">
        <v>261</v>
      </c>
      <c r="H63" s="4" t="s">
        <v>262</v>
      </c>
      <c r="I63" s="4" t="s">
        <v>16</v>
      </c>
      <c r="J63" s="4"/>
      <c r="K63" s="4"/>
      <c r="L63" s="4"/>
      <c r="M63" s="4" t="s">
        <v>20</v>
      </c>
    </row>
    <row r="64" spans="1:13" ht="28">
      <c r="A64" s="4">
        <v>16</v>
      </c>
      <c r="B64" s="4" t="s">
        <v>262</v>
      </c>
      <c r="C64" s="4" t="s">
        <v>48</v>
      </c>
      <c r="D64" s="4" t="s">
        <v>263</v>
      </c>
      <c r="E64" s="4" t="s">
        <v>264</v>
      </c>
      <c r="F64" s="4" t="s">
        <v>239</v>
      </c>
      <c r="G64" s="4" t="s">
        <v>240</v>
      </c>
      <c r="H64" s="4" t="s">
        <v>265</v>
      </c>
      <c r="I64" s="4" t="s">
        <v>16</v>
      </c>
      <c r="J64" s="4"/>
      <c r="K64" s="4"/>
      <c r="L64" s="4"/>
      <c r="M64" s="4" t="s">
        <v>20</v>
      </c>
    </row>
    <row r="65" spans="1:13">
      <c r="A65" s="4">
        <v>17</v>
      </c>
      <c r="B65" s="4" t="s">
        <v>266</v>
      </c>
      <c r="C65" s="4" t="s">
        <v>48</v>
      </c>
      <c r="D65" s="4" t="s">
        <v>267</v>
      </c>
      <c r="E65" s="4" t="s">
        <v>268</v>
      </c>
      <c r="F65" s="4" t="s">
        <v>239</v>
      </c>
      <c r="G65" s="4" t="s">
        <v>269</v>
      </c>
      <c r="H65" s="4" t="s">
        <v>270</v>
      </c>
      <c r="I65" s="4" t="s">
        <v>16</v>
      </c>
      <c r="J65" s="4"/>
      <c r="K65" s="4"/>
      <c r="L65" s="4"/>
      <c r="M65" s="4" t="s">
        <v>20</v>
      </c>
    </row>
    <row r="66" spans="1:13">
      <c r="A66" s="4">
        <v>18</v>
      </c>
      <c r="B66" s="4" t="s">
        <v>271</v>
      </c>
      <c r="C66" s="4" t="s">
        <v>48</v>
      </c>
      <c r="D66" s="4" t="s">
        <v>272</v>
      </c>
      <c r="E66" s="4" t="s">
        <v>273</v>
      </c>
      <c r="F66" s="4" t="s">
        <v>274</v>
      </c>
      <c r="G66" s="4" t="s">
        <v>275</v>
      </c>
      <c r="H66" s="4" t="s">
        <v>276</v>
      </c>
      <c r="I66" s="4" t="s">
        <v>16</v>
      </c>
      <c r="J66" s="4"/>
      <c r="K66" s="4"/>
      <c r="L66" s="4"/>
      <c r="M66" s="4" t="s">
        <v>20</v>
      </c>
    </row>
    <row r="67" spans="1:13">
      <c r="A67" s="4">
        <v>19</v>
      </c>
      <c r="B67" s="4" t="s">
        <v>277</v>
      </c>
      <c r="C67" s="4" t="s">
        <v>48</v>
      </c>
      <c r="D67" s="4" t="s">
        <v>278</v>
      </c>
      <c r="E67" s="4" t="s">
        <v>279</v>
      </c>
      <c r="F67" s="4" t="s">
        <v>274</v>
      </c>
      <c r="G67" s="4" t="s">
        <v>271</v>
      </c>
      <c r="H67" s="4" t="s">
        <v>280</v>
      </c>
      <c r="I67" s="4" t="s">
        <v>16</v>
      </c>
      <c r="J67" s="4"/>
      <c r="K67" s="4"/>
      <c r="L67" s="4"/>
      <c r="M67" s="4" t="s">
        <v>20</v>
      </c>
    </row>
    <row r="68" spans="1:13">
      <c r="A68" s="4">
        <v>20</v>
      </c>
      <c r="B68" s="4" t="s">
        <v>280</v>
      </c>
      <c r="C68" s="4" t="s">
        <v>48</v>
      </c>
      <c r="D68" s="4" t="s">
        <v>281</v>
      </c>
      <c r="E68" s="4" t="s">
        <v>282</v>
      </c>
      <c r="F68" s="4" t="s">
        <v>283</v>
      </c>
      <c r="G68" s="4" t="s">
        <v>277</v>
      </c>
      <c r="H68" s="4" t="s">
        <v>284</v>
      </c>
      <c r="I68" s="4" t="s">
        <v>16</v>
      </c>
      <c r="J68" s="4"/>
      <c r="K68" s="4"/>
      <c r="L68" s="4"/>
      <c r="M68" s="4" t="s">
        <v>20</v>
      </c>
    </row>
    <row r="69" spans="1:13">
      <c r="A69" s="4">
        <v>21</v>
      </c>
      <c r="B69" s="4" t="s">
        <v>285</v>
      </c>
      <c r="C69" s="4" t="s">
        <v>48</v>
      </c>
      <c r="D69" s="4" t="s">
        <v>286</v>
      </c>
      <c r="E69" s="4" t="s">
        <v>287</v>
      </c>
      <c r="F69" s="4" t="s">
        <v>206</v>
      </c>
      <c r="G69" s="4" t="s">
        <v>265</v>
      </c>
      <c r="H69" s="4" t="s">
        <v>288</v>
      </c>
      <c r="I69" s="4" t="s">
        <v>16</v>
      </c>
      <c r="J69" s="4"/>
      <c r="K69" s="4"/>
      <c r="L69" s="4"/>
      <c r="M69" s="4" t="s">
        <v>20</v>
      </c>
    </row>
    <row r="70" spans="1:13">
      <c r="A70" s="4">
        <v>22</v>
      </c>
      <c r="B70" s="4" t="s">
        <v>288</v>
      </c>
      <c r="C70" s="4" t="s">
        <v>48</v>
      </c>
      <c r="D70" s="4" t="s">
        <v>289</v>
      </c>
      <c r="E70" s="4" t="s">
        <v>290</v>
      </c>
      <c r="F70" s="4" t="s">
        <v>239</v>
      </c>
      <c r="G70" s="4" t="s">
        <v>285</v>
      </c>
      <c r="H70" s="4" t="s">
        <v>291</v>
      </c>
      <c r="I70" s="4" t="s">
        <v>16</v>
      </c>
      <c r="J70" s="4"/>
      <c r="K70" s="4"/>
      <c r="L70" s="4"/>
      <c r="M70" s="4" t="s">
        <v>20</v>
      </c>
    </row>
    <row r="71" spans="1:13" ht="28">
      <c r="A71" s="4">
        <v>23</v>
      </c>
      <c r="B71" s="4" t="s">
        <v>291</v>
      </c>
      <c r="C71" s="4" t="s">
        <v>48</v>
      </c>
      <c r="D71" s="4" t="s">
        <v>292</v>
      </c>
      <c r="E71" s="4" t="s">
        <v>293</v>
      </c>
      <c r="F71" s="4" t="s">
        <v>206</v>
      </c>
      <c r="G71" s="4" t="s">
        <v>288</v>
      </c>
      <c r="H71" s="4" t="s">
        <v>294</v>
      </c>
      <c r="I71" s="4" t="s">
        <v>16</v>
      </c>
      <c r="J71" s="4"/>
      <c r="K71" s="4"/>
      <c r="L71" s="4"/>
      <c r="M71" s="4" t="s">
        <v>20</v>
      </c>
    </row>
    <row r="72" spans="1:13" ht="28">
      <c r="A72" s="4">
        <v>24</v>
      </c>
      <c r="B72" s="4" t="s">
        <v>294</v>
      </c>
      <c r="C72" s="4" t="s">
        <v>48</v>
      </c>
      <c r="D72" s="4" t="s">
        <v>295</v>
      </c>
      <c r="E72" s="4" t="s">
        <v>296</v>
      </c>
      <c r="F72" s="4" t="s">
        <v>297</v>
      </c>
      <c r="G72" s="4" t="s">
        <v>298</v>
      </c>
      <c r="H72" s="4" t="s">
        <v>299</v>
      </c>
      <c r="I72" s="4" t="s">
        <v>16</v>
      </c>
      <c r="J72" s="4"/>
      <c r="K72" s="4"/>
      <c r="L72" s="4"/>
      <c r="M72" s="4" t="s">
        <v>20</v>
      </c>
    </row>
    <row r="73" spans="1:13">
      <c r="A73" s="4">
        <v>25</v>
      </c>
      <c r="B73" s="4" t="s">
        <v>299</v>
      </c>
      <c r="C73" s="4" t="s">
        <v>48</v>
      </c>
      <c r="D73" s="4" t="s">
        <v>300</v>
      </c>
      <c r="E73" s="4" t="s">
        <v>301</v>
      </c>
      <c r="F73" s="4" t="s">
        <v>302</v>
      </c>
      <c r="G73" s="4" t="s">
        <v>294</v>
      </c>
      <c r="H73" s="4" t="s">
        <v>303</v>
      </c>
      <c r="I73" s="4" t="s">
        <v>16</v>
      </c>
      <c r="J73" s="4"/>
      <c r="K73" s="4"/>
      <c r="L73" s="4"/>
      <c r="M73" s="4" t="s">
        <v>20</v>
      </c>
    </row>
    <row r="74" spans="1:13">
      <c r="A74" s="4">
        <v>26</v>
      </c>
      <c r="B74" s="4" t="s">
        <v>304</v>
      </c>
      <c r="C74" s="4" t="s">
        <v>58</v>
      </c>
      <c r="D74" s="4" t="s">
        <v>305</v>
      </c>
      <c r="E74" s="4" t="s">
        <v>306</v>
      </c>
      <c r="F74" s="4" t="s">
        <v>239</v>
      </c>
      <c r="G74" s="4" t="s">
        <v>299</v>
      </c>
      <c r="H74" s="4" t="s">
        <v>307</v>
      </c>
      <c r="I74" s="4" t="s">
        <v>16</v>
      </c>
      <c r="J74" s="4"/>
      <c r="K74" s="4"/>
      <c r="L74" s="4"/>
      <c r="M74" s="4" t="s">
        <v>20</v>
      </c>
    </row>
    <row r="75" spans="1:13">
      <c r="A75" s="4">
        <v>27</v>
      </c>
      <c r="B75" s="4" t="s">
        <v>308</v>
      </c>
      <c r="C75" s="4" t="s">
        <v>58</v>
      </c>
      <c r="D75" s="4" t="s">
        <v>309</v>
      </c>
      <c r="E75" s="4" t="s">
        <v>310</v>
      </c>
      <c r="F75" s="4" t="s">
        <v>311</v>
      </c>
      <c r="G75" s="4" t="s">
        <v>304</v>
      </c>
      <c r="H75" s="4" t="s">
        <v>312</v>
      </c>
      <c r="I75" s="4" t="s">
        <v>16</v>
      </c>
      <c r="J75" s="4"/>
      <c r="K75" s="4"/>
      <c r="L75" s="4"/>
      <c r="M75" s="4" t="s">
        <v>20</v>
      </c>
    </row>
    <row r="76" spans="1:13" ht="28">
      <c r="A76" s="4">
        <v>28</v>
      </c>
      <c r="B76" s="4" t="s">
        <v>313</v>
      </c>
      <c r="C76" s="4" t="s">
        <v>58</v>
      </c>
      <c r="D76" s="4" t="s">
        <v>314</v>
      </c>
      <c r="E76" s="4" t="s">
        <v>315</v>
      </c>
      <c r="F76" s="4" t="s">
        <v>206</v>
      </c>
      <c r="G76" s="4" t="s">
        <v>299</v>
      </c>
      <c r="H76" s="4" t="s">
        <v>312</v>
      </c>
      <c r="I76" s="4" t="s">
        <v>16</v>
      </c>
      <c r="J76" s="4"/>
      <c r="K76" s="4"/>
      <c r="L76" s="4"/>
      <c r="M76" s="4" t="s">
        <v>20</v>
      </c>
    </row>
    <row r="77" spans="1:13">
      <c r="A77" s="4">
        <v>29</v>
      </c>
      <c r="B77" s="4" t="s">
        <v>312</v>
      </c>
      <c r="C77" s="4" t="s">
        <v>58</v>
      </c>
      <c r="D77" s="4" t="s">
        <v>316</v>
      </c>
      <c r="E77" s="4" t="s">
        <v>317</v>
      </c>
      <c r="F77" s="4" t="s">
        <v>248</v>
      </c>
      <c r="G77" s="4" t="s">
        <v>318</v>
      </c>
      <c r="H77" s="4" t="s">
        <v>319</v>
      </c>
      <c r="I77" s="4" t="s">
        <v>16</v>
      </c>
      <c r="J77" s="4"/>
      <c r="K77" s="4"/>
      <c r="L77" s="4"/>
      <c r="M77" s="4" t="s">
        <v>20</v>
      </c>
    </row>
    <row r="78" spans="1:13" ht="28">
      <c r="A78" s="4">
        <v>30</v>
      </c>
      <c r="B78" s="4" t="s">
        <v>319</v>
      </c>
      <c r="C78" s="4" t="s">
        <v>58</v>
      </c>
      <c r="D78" s="4" t="s">
        <v>259</v>
      </c>
      <c r="E78" s="4" t="s">
        <v>320</v>
      </c>
      <c r="F78" s="4" t="s">
        <v>226</v>
      </c>
      <c r="G78" s="4" t="s">
        <v>321</v>
      </c>
      <c r="H78" s="4" t="s">
        <v>322</v>
      </c>
      <c r="I78" s="4" t="s">
        <v>16</v>
      </c>
      <c r="J78" s="4"/>
      <c r="K78" s="4"/>
      <c r="L78" s="4"/>
      <c r="M78" s="4" t="s">
        <v>20</v>
      </c>
    </row>
    <row r="79" spans="1:13" ht="28">
      <c r="A79" s="4">
        <v>31</v>
      </c>
      <c r="B79" s="4" t="s">
        <v>322</v>
      </c>
      <c r="C79" s="4" t="s">
        <v>58</v>
      </c>
      <c r="D79" s="4" t="s">
        <v>263</v>
      </c>
      <c r="E79" s="4" t="s">
        <v>323</v>
      </c>
      <c r="F79" s="4" t="s">
        <v>239</v>
      </c>
      <c r="G79" s="4" t="s">
        <v>319</v>
      </c>
      <c r="H79" s="4" t="s">
        <v>324</v>
      </c>
      <c r="I79" s="4" t="s">
        <v>16</v>
      </c>
      <c r="J79" s="4"/>
      <c r="K79" s="4"/>
      <c r="L79" s="4"/>
      <c r="M79" s="4" t="s">
        <v>20</v>
      </c>
    </row>
    <row r="80" spans="1:13">
      <c r="A80" s="4">
        <v>32</v>
      </c>
      <c r="B80" s="4" t="s">
        <v>325</v>
      </c>
      <c r="C80" s="4" t="s">
        <v>58</v>
      </c>
      <c r="D80" s="4" t="s">
        <v>326</v>
      </c>
      <c r="E80" s="4" t="s">
        <v>327</v>
      </c>
      <c r="F80" s="4" t="s">
        <v>239</v>
      </c>
      <c r="G80" s="4" t="s">
        <v>328</v>
      </c>
      <c r="H80" s="4" t="s">
        <v>329</v>
      </c>
      <c r="I80" s="4" t="s">
        <v>16</v>
      </c>
      <c r="J80" s="4"/>
      <c r="K80" s="4"/>
      <c r="L80" s="4"/>
      <c r="M80" s="4" t="s">
        <v>20</v>
      </c>
    </row>
    <row r="81" spans="1:13">
      <c r="A81" s="4">
        <v>33</v>
      </c>
      <c r="B81" s="4" t="s">
        <v>330</v>
      </c>
      <c r="C81" s="4" t="s">
        <v>58</v>
      </c>
      <c r="D81" s="4" t="s">
        <v>331</v>
      </c>
      <c r="E81" s="4" t="s">
        <v>332</v>
      </c>
      <c r="F81" s="4" t="s">
        <v>274</v>
      </c>
      <c r="G81" s="4" t="s">
        <v>333</v>
      </c>
      <c r="H81" s="4" t="s">
        <v>334</v>
      </c>
      <c r="I81" s="4" t="s">
        <v>16</v>
      </c>
      <c r="J81" s="4"/>
      <c r="K81" s="4"/>
      <c r="L81" s="4"/>
      <c r="M81" s="4" t="s">
        <v>20</v>
      </c>
    </row>
    <row r="82" spans="1:13">
      <c r="A82" s="4">
        <v>34</v>
      </c>
      <c r="B82" s="4" t="s">
        <v>335</v>
      </c>
      <c r="C82" s="4" t="s">
        <v>58</v>
      </c>
      <c r="D82" s="4" t="s">
        <v>278</v>
      </c>
      <c r="E82" s="4" t="s">
        <v>336</v>
      </c>
      <c r="F82" s="4" t="s">
        <v>274</v>
      </c>
      <c r="G82" s="4" t="s">
        <v>330</v>
      </c>
      <c r="H82" s="4" t="s">
        <v>337</v>
      </c>
      <c r="I82" s="4" t="s">
        <v>16</v>
      </c>
      <c r="J82" s="4"/>
      <c r="K82" s="4"/>
      <c r="L82" s="4"/>
      <c r="M82" s="4" t="s">
        <v>20</v>
      </c>
    </row>
    <row r="83" spans="1:13">
      <c r="A83" s="4">
        <v>35</v>
      </c>
      <c r="B83" s="4" t="s">
        <v>337</v>
      </c>
      <c r="C83" s="4" t="s">
        <v>58</v>
      </c>
      <c r="D83" s="4" t="s">
        <v>281</v>
      </c>
      <c r="E83" s="4" t="s">
        <v>338</v>
      </c>
      <c r="F83" s="4" t="s">
        <v>283</v>
      </c>
      <c r="G83" s="4" t="s">
        <v>335</v>
      </c>
      <c r="H83" s="4" t="s">
        <v>339</v>
      </c>
      <c r="I83" s="4" t="s">
        <v>16</v>
      </c>
      <c r="J83" s="4"/>
      <c r="K83" s="4"/>
      <c r="L83" s="4"/>
      <c r="M83" s="4" t="s">
        <v>20</v>
      </c>
    </row>
    <row r="84" spans="1:13">
      <c r="A84" s="4">
        <v>36</v>
      </c>
      <c r="B84" s="4" t="s">
        <v>340</v>
      </c>
      <c r="C84" s="4" t="s">
        <v>58</v>
      </c>
      <c r="D84" s="4" t="s">
        <v>286</v>
      </c>
      <c r="E84" s="4" t="s">
        <v>341</v>
      </c>
      <c r="F84" s="4" t="s">
        <v>206</v>
      </c>
      <c r="G84" s="4" t="s">
        <v>324</v>
      </c>
      <c r="H84" s="4" t="s">
        <v>342</v>
      </c>
      <c r="I84" s="4" t="s">
        <v>16</v>
      </c>
      <c r="J84" s="4"/>
      <c r="K84" s="4"/>
      <c r="L84" s="4"/>
      <c r="M84" s="4" t="s">
        <v>20</v>
      </c>
    </row>
    <row r="85" spans="1:13">
      <c r="A85" s="4">
        <v>37</v>
      </c>
      <c r="B85" s="4" t="s">
        <v>342</v>
      </c>
      <c r="C85" s="4" t="s">
        <v>58</v>
      </c>
      <c r="D85" s="4" t="s">
        <v>289</v>
      </c>
      <c r="E85" s="4" t="s">
        <v>343</v>
      </c>
      <c r="F85" s="4" t="s">
        <v>239</v>
      </c>
      <c r="G85" s="4" t="s">
        <v>340</v>
      </c>
      <c r="H85" s="4" t="s">
        <v>344</v>
      </c>
      <c r="I85" s="4" t="s">
        <v>16</v>
      </c>
      <c r="J85" s="4"/>
      <c r="K85" s="4"/>
      <c r="L85" s="4"/>
      <c r="M85" s="4" t="s">
        <v>20</v>
      </c>
    </row>
    <row r="86" spans="1:13" ht="28">
      <c r="A86" s="4">
        <v>38</v>
      </c>
      <c r="B86" s="4" t="s">
        <v>344</v>
      </c>
      <c r="C86" s="4" t="s">
        <v>58</v>
      </c>
      <c r="D86" s="4" t="s">
        <v>292</v>
      </c>
      <c r="E86" s="4" t="s">
        <v>345</v>
      </c>
      <c r="F86" s="4" t="s">
        <v>206</v>
      </c>
      <c r="G86" s="4" t="s">
        <v>342</v>
      </c>
      <c r="H86" s="4" t="s">
        <v>346</v>
      </c>
      <c r="I86" s="4" t="s">
        <v>16</v>
      </c>
      <c r="J86" s="4"/>
      <c r="K86" s="4"/>
      <c r="L86" s="4"/>
      <c r="M86" s="4" t="s">
        <v>20</v>
      </c>
    </row>
    <row r="87" spans="1:13" ht="28">
      <c r="A87" s="4">
        <v>39</v>
      </c>
      <c r="B87" s="4" t="s">
        <v>346</v>
      </c>
      <c r="C87" s="4" t="s">
        <v>58</v>
      </c>
      <c r="D87" s="4" t="s">
        <v>295</v>
      </c>
      <c r="E87" s="4" t="s">
        <v>347</v>
      </c>
      <c r="F87" s="4" t="s">
        <v>297</v>
      </c>
      <c r="G87" s="4" t="s">
        <v>348</v>
      </c>
      <c r="H87" s="4" t="s">
        <v>349</v>
      </c>
      <c r="I87" s="4" t="s">
        <v>16</v>
      </c>
      <c r="J87" s="4"/>
      <c r="K87" s="4"/>
      <c r="L87" s="4"/>
      <c r="M87" s="4" t="s">
        <v>20</v>
      </c>
    </row>
    <row r="88" spans="1:13">
      <c r="A88" s="4">
        <v>40</v>
      </c>
      <c r="B88" s="4" t="s">
        <v>349</v>
      </c>
      <c r="C88" s="4" t="s">
        <v>58</v>
      </c>
      <c r="D88" s="4" t="s">
        <v>350</v>
      </c>
      <c r="E88" s="4" t="s">
        <v>351</v>
      </c>
      <c r="F88" s="4" t="s">
        <v>302</v>
      </c>
      <c r="G88" s="4" t="s">
        <v>346</v>
      </c>
      <c r="H88" s="4" t="s">
        <v>352</v>
      </c>
      <c r="I88" s="4" t="s">
        <v>16</v>
      </c>
      <c r="J88" s="4"/>
      <c r="K88" s="4"/>
      <c r="L88" s="4"/>
      <c r="M88" s="4" t="s">
        <v>20</v>
      </c>
    </row>
    <row r="89" spans="1:13">
      <c r="A89" s="4">
        <v>41</v>
      </c>
      <c r="B89" s="4" t="s">
        <v>353</v>
      </c>
      <c r="C89" s="4" t="s">
        <v>65</v>
      </c>
      <c r="D89" s="4" t="s">
        <v>354</v>
      </c>
      <c r="E89" s="4" t="s">
        <v>355</v>
      </c>
      <c r="F89" s="4" t="s">
        <v>356</v>
      </c>
      <c r="G89" s="4" t="s">
        <v>357</v>
      </c>
      <c r="H89" s="4" t="s">
        <v>358</v>
      </c>
      <c r="I89" s="4" t="s">
        <v>16</v>
      </c>
      <c r="J89" s="4"/>
      <c r="K89" s="4"/>
      <c r="L89" s="4"/>
      <c r="M89" s="4" t="s">
        <v>20</v>
      </c>
    </row>
    <row r="90" spans="1:13" ht="28">
      <c r="A90" s="4">
        <v>42</v>
      </c>
      <c r="B90" s="4" t="s">
        <v>359</v>
      </c>
      <c r="C90" s="4" t="s">
        <v>65</v>
      </c>
      <c r="D90" s="4" t="s">
        <v>360</v>
      </c>
      <c r="E90" s="4" t="s">
        <v>361</v>
      </c>
      <c r="F90" s="4" t="s">
        <v>206</v>
      </c>
      <c r="G90" s="4" t="s">
        <v>349</v>
      </c>
      <c r="H90" s="4" t="s">
        <v>362</v>
      </c>
      <c r="I90" s="4" t="s">
        <v>16</v>
      </c>
      <c r="J90" s="4"/>
      <c r="K90" s="4"/>
      <c r="L90" s="4"/>
      <c r="M90" s="4" t="s">
        <v>20</v>
      </c>
    </row>
    <row r="91" spans="1:13">
      <c r="A91" s="4">
        <v>43</v>
      </c>
      <c r="B91" s="4" t="s">
        <v>362</v>
      </c>
      <c r="C91" s="4" t="s">
        <v>65</v>
      </c>
      <c r="D91" s="4" t="s">
        <v>363</v>
      </c>
      <c r="E91" s="4" t="s">
        <v>364</v>
      </c>
      <c r="F91" s="4" t="s">
        <v>248</v>
      </c>
      <c r="G91" s="4" t="s">
        <v>365</v>
      </c>
      <c r="H91" s="4" t="s">
        <v>366</v>
      </c>
      <c r="I91" s="4" t="s">
        <v>16</v>
      </c>
      <c r="J91" s="4"/>
      <c r="K91" s="4"/>
      <c r="L91" s="4"/>
      <c r="M91" s="4" t="s">
        <v>20</v>
      </c>
    </row>
    <row r="92" spans="1:13">
      <c r="A92" s="4">
        <v>44</v>
      </c>
      <c r="B92" s="4" t="s">
        <v>366</v>
      </c>
      <c r="C92" s="4" t="s">
        <v>65</v>
      </c>
      <c r="D92" s="4" t="s">
        <v>367</v>
      </c>
      <c r="E92" s="4" t="s">
        <v>256</v>
      </c>
      <c r="F92" s="4" t="s">
        <v>257</v>
      </c>
      <c r="G92" s="4" t="s">
        <v>368</v>
      </c>
      <c r="H92" s="4" t="s">
        <v>358</v>
      </c>
      <c r="I92" s="4" t="s">
        <v>16</v>
      </c>
      <c r="J92" s="4"/>
      <c r="K92" s="4"/>
      <c r="L92" s="4"/>
      <c r="M92" s="4" t="s">
        <v>20</v>
      </c>
    </row>
    <row r="93" spans="1:13" ht="28">
      <c r="A93" s="4">
        <v>45</v>
      </c>
      <c r="B93" s="4" t="s">
        <v>358</v>
      </c>
      <c r="C93" s="4" t="s">
        <v>65</v>
      </c>
      <c r="D93" s="4" t="s">
        <v>259</v>
      </c>
      <c r="E93" s="4" t="s">
        <v>369</v>
      </c>
      <c r="F93" s="4" t="s">
        <v>226</v>
      </c>
      <c r="G93" s="4" t="s">
        <v>370</v>
      </c>
      <c r="H93" s="4" t="s">
        <v>371</v>
      </c>
      <c r="I93" s="4" t="s">
        <v>16</v>
      </c>
      <c r="J93" s="4"/>
      <c r="K93" s="4"/>
      <c r="L93" s="4"/>
      <c r="M93" s="4" t="s">
        <v>20</v>
      </c>
    </row>
    <row r="94" spans="1:13" ht="28">
      <c r="A94" s="4">
        <v>46</v>
      </c>
      <c r="B94" s="4" t="s">
        <v>371</v>
      </c>
      <c r="C94" s="4" t="s">
        <v>65</v>
      </c>
      <c r="D94" s="4" t="s">
        <v>263</v>
      </c>
      <c r="E94" s="4" t="s">
        <v>372</v>
      </c>
      <c r="F94" s="4" t="s">
        <v>239</v>
      </c>
      <c r="G94" s="4" t="s">
        <v>358</v>
      </c>
      <c r="H94" s="4" t="s">
        <v>373</v>
      </c>
      <c r="I94" s="4" t="s">
        <v>16</v>
      </c>
      <c r="J94" s="4"/>
      <c r="K94" s="4"/>
      <c r="L94" s="4"/>
      <c r="M94" s="4" t="s">
        <v>20</v>
      </c>
    </row>
    <row r="95" spans="1:13">
      <c r="A95" s="4">
        <v>47</v>
      </c>
      <c r="B95" s="4" t="s">
        <v>374</v>
      </c>
      <c r="C95" s="4" t="s">
        <v>65</v>
      </c>
      <c r="D95" s="4" t="s">
        <v>375</v>
      </c>
      <c r="E95" s="4" t="s">
        <v>376</v>
      </c>
      <c r="F95" s="4" t="s">
        <v>239</v>
      </c>
      <c r="G95" s="4" t="s">
        <v>377</v>
      </c>
      <c r="H95" s="4" t="s">
        <v>378</v>
      </c>
      <c r="I95" s="4" t="s">
        <v>16</v>
      </c>
      <c r="J95" s="4"/>
      <c r="K95" s="4"/>
      <c r="L95" s="4"/>
      <c r="M95" s="4" t="s">
        <v>20</v>
      </c>
    </row>
    <row r="96" spans="1:13">
      <c r="A96" s="4">
        <v>48</v>
      </c>
      <c r="B96" s="4" t="s">
        <v>379</v>
      </c>
      <c r="C96" s="4" t="s">
        <v>65</v>
      </c>
      <c r="D96" s="4" t="s">
        <v>380</v>
      </c>
      <c r="E96" s="4" t="s">
        <v>381</v>
      </c>
      <c r="F96" s="4" t="s">
        <v>274</v>
      </c>
      <c r="G96" s="4" t="s">
        <v>382</v>
      </c>
      <c r="H96" s="4" t="s">
        <v>383</v>
      </c>
      <c r="I96" s="4" t="s">
        <v>16</v>
      </c>
      <c r="J96" s="4"/>
      <c r="K96" s="4"/>
      <c r="L96" s="4"/>
      <c r="M96" s="4" t="s">
        <v>20</v>
      </c>
    </row>
    <row r="97" spans="1:13">
      <c r="A97" s="4">
        <v>49</v>
      </c>
      <c r="B97" s="4" t="s">
        <v>384</v>
      </c>
      <c r="C97" s="4" t="s">
        <v>65</v>
      </c>
      <c r="D97" s="4" t="s">
        <v>278</v>
      </c>
      <c r="E97" s="4" t="s">
        <v>385</v>
      </c>
      <c r="F97" s="4" t="s">
        <v>274</v>
      </c>
      <c r="G97" s="4" t="s">
        <v>379</v>
      </c>
      <c r="H97" s="4" t="s">
        <v>386</v>
      </c>
      <c r="I97" s="4" t="s">
        <v>16</v>
      </c>
      <c r="J97" s="4"/>
      <c r="K97" s="4"/>
      <c r="L97" s="4"/>
      <c r="M97" s="4" t="s">
        <v>20</v>
      </c>
    </row>
    <row r="98" spans="1:13">
      <c r="A98" s="4">
        <v>50</v>
      </c>
      <c r="B98" s="4" t="s">
        <v>386</v>
      </c>
      <c r="C98" s="4" t="s">
        <v>65</v>
      </c>
      <c r="D98" s="4" t="s">
        <v>281</v>
      </c>
      <c r="E98" s="4" t="s">
        <v>387</v>
      </c>
      <c r="F98" s="4" t="s">
        <v>283</v>
      </c>
      <c r="G98" s="4" t="s">
        <v>384</v>
      </c>
      <c r="H98" s="4" t="s">
        <v>388</v>
      </c>
      <c r="I98" s="4" t="s">
        <v>16</v>
      </c>
      <c r="J98" s="4"/>
      <c r="K98" s="4"/>
      <c r="L98" s="4"/>
      <c r="M98" s="4" t="s">
        <v>20</v>
      </c>
    </row>
    <row r="99" spans="1:13">
      <c r="A99" s="4">
        <v>51</v>
      </c>
      <c r="B99" s="4" t="s">
        <v>389</v>
      </c>
      <c r="C99" s="4" t="s">
        <v>65</v>
      </c>
      <c r="D99" s="4" t="s">
        <v>286</v>
      </c>
      <c r="E99" s="4" t="s">
        <v>390</v>
      </c>
      <c r="F99" s="4" t="s">
        <v>206</v>
      </c>
      <c r="G99" s="4" t="s">
        <v>373</v>
      </c>
      <c r="H99" s="4" t="s">
        <v>391</v>
      </c>
      <c r="I99" s="4" t="s">
        <v>16</v>
      </c>
      <c r="J99" s="4"/>
      <c r="K99" s="4"/>
      <c r="L99" s="4"/>
      <c r="M99" s="4" t="s">
        <v>20</v>
      </c>
    </row>
    <row r="100" spans="1:13">
      <c r="A100" s="4">
        <v>52</v>
      </c>
      <c r="B100" s="4" t="s">
        <v>391</v>
      </c>
      <c r="C100" s="4" t="s">
        <v>65</v>
      </c>
      <c r="D100" s="4" t="s">
        <v>289</v>
      </c>
      <c r="E100" s="4" t="s">
        <v>392</v>
      </c>
      <c r="F100" s="4" t="s">
        <v>239</v>
      </c>
      <c r="G100" s="4" t="s">
        <v>389</v>
      </c>
      <c r="H100" s="4" t="s">
        <v>393</v>
      </c>
      <c r="I100" s="4" t="s">
        <v>16</v>
      </c>
      <c r="J100" s="4"/>
      <c r="K100" s="4"/>
      <c r="L100" s="4"/>
      <c r="M100" s="4" t="s">
        <v>20</v>
      </c>
    </row>
    <row r="101" spans="1:13" ht="28">
      <c r="A101" s="4">
        <v>53</v>
      </c>
      <c r="B101" s="4" t="s">
        <v>393</v>
      </c>
      <c r="C101" s="4" t="s">
        <v>65</v>
      </c>
      <c r="D101" s="4" t="s">
        <v>292</v>
      </c>
      <c r="E101" s="4" t="s">
        <v>394</v>
      </c>
      <c r="F101" s="4" t="s">
        <v>206</v>
      </c>
      <c r="G101" s="4" t="s">
        <v>391</v>
      </c>
      <c r="H101" s="4" t="s">
        <v>395</v>
      </c>
      <c r="I101" s="4" t="s">
        <v>16</v>
      </c>
      <c r="J101" s="4"/>
      <c r="K101" s="4"/>
      <c r="L101" s="4"/>
      <c r="M101" s="4" t="s">
        <v>20</v>
      </c>
    </row>
    <row r="102" spans="1:13" ht="28">
      <c r="A102" s="4">
        <v>54</v>
      </c>
      <c r="B102" s="4" t="s">
        <v>395</v>
      </c>
      <c r="C102" s="4" t="s">
        <v>65</v>
      </c>
      <c r="D102" s="4" t="s">
        <v>295</v>
      </c>
      <c r="E102" s="4" t="s">
        <v>396</v>
      </c>
      <c r="F102" s="4" t="s">
        <v>297</v>
      </c>
      <c r="G102" s="4" t="s">
        <v>397</v>
      </c>
      <c r="H102" s="4" t="s">
        <v>398</v>
      </c>
      <c r="I102" s="4" t="s">
        <v>16</v>
      </c>
      <c r="J102" s="4"/>
      <c r="K102" s="4"/>
      <c r="L102" s="4"/>
      <c r="M102" s="4" t="s">
        <v>20</v>
      </c>
    </row>
    <row r="103" spans="1:13">
      <c r="A103" s="4">
        <v>55</v>
      </c>
      <c r="B103" s="4" t="s">
        <v>398</v>
      </c>
      <c r="C103" s="4" t="s">
        <v>65</v>
      </c>
      <c r="D103" s="4" t="s">
        <v>399</v>
      </c>
      <c r="E103" s="4" t="s">
        <v>400</v>
      </c>
      <c r="F103" s="4" t="s">
        <v>297</v>
      </c>
      <c r="G103" s="4" t="s">
        <v>395</v>
      </c>
      <c r="H103" s="4" t="s">
        <v>401</v>
      </c>
      <c r="I103" s="4" t="s">
        <v>16</v>
      </c>
      <c r="J103" s="4"/>
      <c r="K103" s="4"/>
      <c r="L103" s="4"/>
      <c r="M103" s="4" t="s">
        <v>20</v>
      </c>
    </row>
    <row r="104" spans="1:13">
      <c r="A104" s="4">
        <v>56</v>
      </c>
      <c r="B104" s="4" t="s">
        <v>402</v>
      </c>
      <c r="C104" s="4" t="s">
        <v>65</v>
      </c>
      <c r="D104" s="4" t="s">
        <v>403</v>
      </c>
      <c r="E104" s="4" t="s">
        <v>404</v>
      </c>
      <c r="F104" s="4" t="s">
        <v>302</v>
      </c>
      <c r="G104" s="4" t="s">
        <v>398</v>
      </c>
      <c r="H104" s="4" t="s">
        <v>405</v>
      </c>
      <c r="I104" s="4" t="s">
        <v>16</v>
      </c>
      <c r="J104" s="4"/>
      <c r="K104" s="4"/>
      <c r="L104" s="4"/>
      <c r="M104" s="4" t="s">
        <v>20</v>
      </c>
    </row>
    <row r="105" spans="1:13">
      <c r="A105" s="4">
        <v>57</v>
      </c>
      <c r="B105" s="4" t="s">
        <v>406</v>
      </c>
      <c r="C105" s="4" t="s">
        <v>73</v>
      </c>
      <c r="D105" s="4" t="s">
        <v>407</v>
      </c>
      <c r="E105" s="4" t="s">
        <v>408</v>
      </c>
      <c r="F105" s="4" t="s">
        <v>206</v>
      </c>
      <c r="G105" s="4" t="s">
        <v>402</v>
      </c>
      <c r="H105" s="4" t="s">
        <v>409</v>
      </c>
      <c r="I105" s="4" t="s">
        <v>16</v>
      </c>
      <c r="J105" s="4"/>
      <c r="K105" s="4"/>
      <c r="L105" s="4"/>
      <c r="M105" s="4" t="s">
        <v>20</v>
      </c>
    </row>
    <row r="106" spans="1:13">
      <c r="A106" s="4">
        <v>58</v>
      </c>
      <c r="B106" s="4" t="s">
        <v>410</v>
      </c>
      <c r="C106" s="4" t="s">
        <v>73</v>
      </c>
      <c r="D106" s="4" t="s">
        <v>411</v>
      </c>
      <c r="E106" s="4" t="s">
        <v>412</v>
      </c>
      <c r="F106" s="4" t="s">
        <v>413</v>
      </c>
      <c r="G106" s="4" t="s">
        <v>398</v>
      </c>
      <c r="H106" s="4" t="s">
        <v>414</v>
      </c>
      <c r="I106" s="4" t="s">
        <v>16</v>
      </c>
      <c r="J106" s="4"/>
      <c r="K106" s="4"/>
      <c r="L106" s="4"/>
      <c r="M106" s="4" t="s">
        <v>20</v>
      </c>
    </row>
    <row r="107" spans="1:13">
      <c r="A107" s="4">
        <v>59</v>
      </c>
      <c r="B107" s="4" t="s">
        <v>415</v>
      </c>
      <c r="C107" s="4" t="s">
        <v>73</v>
      </c>
      <c r="D107" s="4" t="s">
        <v>416</v>
      </c>
      <c r="E107" s="4" t="s">
        <v>417</v>
      </c>
      <c r="F107" s="4" t="s">
        <v>178</v>
      </c>
      <c r="G107" s="4" t="s">
        <v>406</v>
      </c>
      <c r="H107" s="4" t="s">
        <v>414</v>
      </c>
      <c r="I107" s="4" t="s">
        <v>16</v>
      </c>
      <c r="J107" s="4"/>
      <c r="K107" s="4"/>
      <c r="L107" s="4"/>
      <c r="M107" s="4" t="s">
        <v>20</v>
      </c>
    </row>
    <row r="108" spans="1:13">
      <c r="A108" s="4">
        <v>60</v>
      </c>
      <c r="B108" s="4" t="s">
        <v>418</v>
      </c>
      <c r="C108" s="4" t="s">
        <v>73</v>
      </c>
      <c r="D108" s="4" t="s">
        <v>419</v>
      </c>
      <c r="E108" s="4" t="s">
        <v>420</v>
      </c>
      <c r="F108" s="4" t="s">
        <v>421</v>
      </c>
      <c r="G108" s="4" t="s">
        <v>422</v>
      </c>
      <c r="H108" s="4" t="s">
        <v>414</v>
      </c>
      <c r="I108" s="4" t="s">
        <v>16</v>
      </c>
      <c r="J108" s="4"/>
      <c r="K108" s="4"/>
      <c r="L108" s="4"/>
      <c r="M108" s="4" t="s">
        <v>20</v>
      </c>
    </row>
    <row r="109" spans="1:13">
      <c r="A109" s="4">
        <v>61</v>
      </c>
      <c r="B109" s="4" t="s">
        <v>423</v>
      </c>
      <c r="C109" s="4" t="s">
        <v>73</v>
      </c>
      <c r="D109" s="4" t="s">
        <v>424</v>
      </c>
      <c r="E109" s="4" t="s">
        <v>424</v>
      </c>
      <c r="F109" s="4" t="s">
        <v>425</v>
      </c>
      <c r="G109" s="4" t="s">
        <v>426</v>
      </c>
      <c r="H109" s="4" t="s">
        <v>414</v>
      </c>
      <c r="I109" s="4" t="s">
        <v>16</v>
      </c>
      <c r="J109" s="4"/>
      <c r="K109" s="4"/>
      <c r="L109" s="4"/>
      <c r="M109" s="4" t="s">
        <v>20</v>
      </c>
    </row>
    <row r="110" spans="1:13">
      <c r="A110" s="4">
        <v>62</v>
      </c>
      <c r="B110" s="4" t="s">
        <v>427</v>
      </c>
      <c r="C110" s="4" t="s">
        <v>73</v>
      </c>
      <c r="D110" s="4" t="s">
        <v>428</v>
      </c>
      <c r="E110" s="4" t="s">
        <v>429</v>
      </c>
      <c r="F110" s="4" t="s">
        <v>430</v>
      </c>
      <c r="G110" s="4" t="s">
        <v>426</v>
      </c>
      <c r="H110" s="4" t="s">
        <v>414</v>
      </c>
      <c r="I110" s="4" t="s">
        <v>16</v>
      </c>
      <c r="J110" s="4"/>
      <c r="K110" s="4"/>
      <c r="L110" s="4"/>
      <c r="M110" s="4" t="s">
        <v>20</v>
      </c>
    </row>
    <row r="111" spans="1:13">
      <c r="A111" s="4">
        <v>63</v>
      </c>
      <c r="B111" s="4" t="s">
        <v>414</v>
      </c>
      <c r="C111" s="4" t="s">
        <v>73</v>
      </c>
      <c r="D111" s="4" t="s">
        <v>431</v>
      </c>
      <c r="E111" s="4" t="s">
        <v>431</v>
      </c>
      <c r="F111" s="4" t="s">
        <v>432</v>
      </c>
      <c r="G111" s="4" t="s">
        <v>433</v>
      </c>
      <c r="H111" s="4"/>
      <c r="I111" s="4" t="s">
        <v>16</v>
      </c>
      <c r="J111" s="4"/>
      <c r="K111" s="4"/>
      <c r="L111" s="4"/>
      <c r="M111" s="4" t="s">
        <v>20</v>
      </c>
    </row>
    <row r="113" spans="1:13">
      <c r="A113" s="6" t="s">
        <v>524</v>
      </c>
      <c r="B113" s="6"/>
      <c r="C113" s="6"/>
      <c r="D113" s="6"/>
      <c r="E113" s="6"/>
      <c r="F113" s="6"/>
      <c r="G113" s="6"/>
      <c r="H113" s="6"/>
      <c r="I113" s="6"/>
      <c r="J113" s="6"/>
    </row>
    <row r="114" spans="1:13">
      <c r="A114" s="1" t="s">
        <v>525</v>
      </c>
      <c r="B114" s="1" t="s">
        <v>526</v>
      </c>
      <c r="C114" s="1" t="s">
        <v>459</v>
      </c>
      <c r="D114" s="1" t="s">
        <v>3</v>
      </c>
      <c r="E114" s="1" t="s">
        <v>4</v>
      </c>
      <c r="F114" s="1" t="s">
        <v>511</v>
      </c>
      <c r="G114" s="1" t="s">
        <v>527</v>
      </c>
      <c r="H114" s="1" t="s">
        <v>528</v>
      </c>
      <c r="I114" s="1" t="s">
        <v>529</v>
      </c>
      <c r="J114" s="1" t="s">
        <v>530</v>
      </c>
      <c r="K114" s="1" t="s">
        <v>440</v>
      </c>
    </row>
    <row r="115" spans="1:13">
      <c r="A115" t="s">
        <v>531</v>
      </c>
      <c r="B115" t="s">
        <v>532</v>
      </c>
      <c r="C115" t="s">
        <v>533</v>
      </c>
      <c r="D115" t="s">
        <v>26</v>
      </c>
      <c r="E115" t="s">
        <v>29</v>
      </c>
      <c r="F115" t="s">
        <v>136</v>
      </c>
      <c r="G115" t="s">
        <v>534</v>
      </c>
      <c r="H115" t="s">
        <v>535</v>
      </c>
      <c r="I115" t="s">
        <v>22</v>
      </c>
      <c r="J115" t="s">
        <v>536</v>
      </c>
      <c r="K115" t="s">
        <v>20</v>
      </c>
    </row>
    <row r="116" spans="1:13">
      <c r="A116" t="s">
        <v>537</v>
      </c>
      <c r="B116" t="s">
        <v>538</v>
      </c>
      <c r="C116" t="s">
        <v>539</v>
      </c>
      <c r="D116" t="s">
        <v>28</v>
      </c>
      <c r="E116" t="s">
        <v>29</v>
      </c>
      <c r="F116" t="s">
        <v>136</v>
      </c>
      <c r="G116" t="s">
        <v>540</v>
      </c>
      <c r="H116" t="s">
        <v>541</v>
      </c>
      <c r="I116" t="s">
        <v>22</v>
      </c>
      <c r="J116" t="s">
        <v>536</v>
      </c>
      <c r="K116" t="s">
        <v>20</v>
      </c>
    </row>
    <row r="117" spans="1:13">
      <c r="A117" t="s">
        <v>542</v>
      </c>
      <c r="B117" t="s">
        <v>543</v>
      </c>
      <c r="C117" t="s">
        <v>463</v>
      </c>
      <c r="D117" t="s">
        <v>50</v>
      </c>
      <c r="E117" t="s">
        <v>29</v>
      </c>
      <c r="F117" t="s">
        <v>136</v>
      </c>
      <c r="G117" t="s">
        <v>544</v>
      </c>
      <c r="H117" t="s">
        <v>545</v>
      </c>
      <c r="I117" t="s">
        <v>45</v>
      </c>
      <c r="J117" t="s">
        <v>136</v>
      </c>
      <c r="K117" t="s">
        <v>20</v>
      </c>
    </row>
    <row r="119" spans="1:13">
      <c r="A119" s="6" t="s">
        <v>546</v>
      </c>
      <c r="B119" s="6"/>
      <c r="C119" s="6"/>
      <c r="D119" s="6"/>
      <c r="E119" s="6"/>
      <c r="F119" s="6"/>
      <c r="G119" s="6"/>
      <c r="H119" s="6"/>
      <c r="I119" s="6"/>
      <c r="J119" s="6"/>
    </row>
    <row r="120" spans="1:13">
      <c r="A120" s="1" t="s">
        <v>547</v>
      </c>
      <c r="B120" s="1" t="s">
        <v>472</v>
      </c>
      <c r="C120" s="1" t="s">
        <v>548</v>
      </c>
      <c r="D120" s="1" t="s">
        <v>474</v>
      </c>
      <c r="E120" s="1" t="s">
        <v>523</v>
      </c>
      <c r="F120" s="1" t="s">
        <v>511</v>
      </c>
      <c r="G120" s="1" t="s">
        <v>3</v>
      </c>
      <c r="H120" s="1" t="s">
        <v>549</v>
      </c>
      <c r="I120" s="1" t="s">
        <v>550</v>
      </c>
      <c r="J120" s="1" t="s">
        <v>551</v>
      </c>
      <c r="K120" s="1" t="s">
        <v>9</v>
      </c>
      <c r="L120" s="1" t="s">
        <v>552</v>
      </c>
      <c r="M120" s="1" t="s">
        <v>440</v>
      </c>
    </row>
    <row r="121" spans="1:13">
      <c r="A121" t="s">
        <v>553</v>
      </c>
      <c r="B121" t="s">
        <v>536</v>
      </c>
      <c r="C121" t="s">
        <v>554</v>
      </c>
      <c r="D121" t="s">
        <v>133</v>
      </c>
      <c r="E121" t="s">
        <v>533</v>
      </c>
      <c r="F121" t="s">
        <v>136</v>
      </c>
      <c r="G121" t="s">
        <v>67</v>
      </c>
      <c r="H121" t="s">
        <v>555</v>
      </c>
      <c r="I121" t="s">
        <v>531</v>
      </c>
      <c r="J121" t="s">
        <v>532</v>
      </c>
      <c r="K121" t="s">
        <v>22</v>
      </c>
      <c r="M121" t="s">
        <v>20</v>
      </c>
    </row>
    <row r="122" spans="1:13">
      <c r="A122" t="s">
        <v>556</v>
      </c>
      <c r="B122" t="s">
        <v>536</v>
      </c>
      <c r="C122" t="s">
        <v>557</v>
      </c>
      <c r="D122" t="s">
        <v>133</v>
      </c>
      <c r="E122" t="s">
        <v>558</v>
      </c>
      <c r="F122" t="s">
        <v>136</v>
      </c>
      <c r="G122" t="s">
        <v>28</v>
      </c>
      <c r="H122" t="s">
        <v>559</v>
      </c>
      <c r="I122" t="s">
        <v>537</v>
      </c>
      <c r="J122" t="s">
        <v>538</v>
      </c>
      <c r="K122" t="s">
        <v>22</v>
      </c>
      <c r="M122" t="s">
        <v>20</v>
      </c>
    </row>
    <row r="124" spans="1:13">
      <c r="A124" s="6" t="s">
        <v>560</v>
      </c>
      <c r="B124" s="6"/>
      <c r="C124" s="6"/>
      <c r="D124" s="6"/>
      <c r="E124" s="6"/>
      <c r="F124" s="6"/>
      <c r="G124" s="6"/>
      <c r="H124" s="6"/>
      <c r="I124" s="6"/>
      <c r="J124" s="6"/>
    </row>
    <row r="125" spans="1:13">
      <c r="A125" s="1" t="s">
        <v>561</v>
      </c>
      <c r="B125" s="1" t="s">
        <v>13</v>
      </c>
      <c r="C125" s="1" t="s">
        <v>459</v>
      </c>
      <c r="D125" s="1" t="s">
        <v>511</v>
      </c>
      <c r="E125" s="1" t="s">
        <v>3</v>
      </c>
      <c r="F125" s="1" t="s">
        <v>461</v>
      </c>
      <c r="G125" s="1" t="s">
        <v>440</v>
      </c>
    </row>
    <row r="126" spans="1:13">
      <c r="A126" t="s">
        <v>562</v>
      </c>
      <c r="B126" t="s">
        <v>29</v>
      </c>
      <c r="E126" t="s">
        <v>85</v>
      </c>
      <c r="G126" t="s">
        <v>20</v>
      </c>
    </row>
  </sheetData>
  <mergeCells count="1">
    <mergeCell ref="A1:J1"/>
  </mergeCells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24"/>
  <sheetViews>
    <sheetView workbookViewId="0">
      <selection sqref="A1:J1"/>
    </sheetView>
  </sheetViews>
  <sheetFormatPr defaultRowHeight="14"/>
  <cols>
    <col min="1" max="1" width="14" customWidth="1"/>
    <col min="2" max="2" width="16" customWidth="1"/>
    <col min="3" max="3" width="28" customWidth="1"/>
    <col min="4" max="4" width="18" customWidth="1"/>
    <col min="5" max="5" width="48" customWidth="1"/>
    <col min="6" max="6" width="28" customWidth="1"/>
    <col min="7" max="8" width="24" customWidth="1"/>
    <col min="9" max="10" width="18" customWidth="1"/>
    <col min="11" max="11" width="16" customWidth="1"/>
    <col min="12" max="12" width="30" customWidth="1"/>
    <col min="13" max="13" width="12" customWidth="1"/>
  </cols>
  <sheetData>
    <row r="1" spans="1:13" ht="18">
      <c r="A1" s="22" t="s">
        <v>563</v>
      </c>
      <c r="B1" s="22"/>
      <c r="C1" s="22"/>
      <c r="D1" s="22"/>
      <c r="E1" s="22"/>
      <c r="F1" s="22"/>
      <c r="G1" s="22"/>
      <c r="H1" s="22"/>
      <c r="I1" s="22"/>
      <c r="J1" s="22"/>
      <c r="K1" s="4"/>
      <c r="L1" s="4"/>
      <c r="M1" s="4"/>
    </row>
    <row r="3" spans="1:13">
      <c r="A3" s="6" t="s">
        <v>492</v>
      </c>
      <c r="B3" s="6"/>
      <c r="C3" s="6"/>
      <c r="D3" s="6"/>
      <c r="E3" s="6"/>
      <c r="F3" s="6"/>
      <c r="G3" s="6"/>
      <c r="H3" s="6"/>
      <c r="I3" s="6"/>
      <c r="J3" s="6"/>
    </row>
    <row r="4" spans="1:13">
      <c r="A4" s="1" t="s">
        <v>493</v>
      </c>
      <c r="B4" s="1" t="s">
        <v>494</v>
      </c>
      <c r="C4" s="1" t="s">
        <v>440</v>
      </c>
      <c r="D4" s="1" t="s">
        <v>461</v>
      </c>
    </row>
    <row r="5" spans="1:13">
      <c r="A5" t="s">
        <v>120</v>
      </c>
      <c r="B5" t="s">
        <v>138</v>
      </c>
      <c r="C5" t="s">
        <v>20</v>
      </c>
    </row>
    <row r="6" spans="1:13">
      <c r="A6" t="s">
        <v>121</v>
      </c>
      <c r="B6" t="s">
        <v>139</v>
      </c>
      <c r="C6" t="s">
        <v>20</v>
      </c>
    </row>
    <row r="7" spans="1:13">
      <c r="A7" t="s">
        <v>122</v>
      </c>
      <c r="B7" t="s">
        <v>140</v>
      </c>
      <c r="C7" t="s">
        <v>20</v>
      </c>
    </row>
    <row r="8" spans="1:13">
      <c r="A8" t="s">
        <v>5</v>
      </c>
      <c r="B8" t="s">
        <v>18</v>
      </c>
      <c r="C8" t="s">
        <v>20</v>
      </c>
    </row>
    <row r="9" spans="1:13">
      <c r="A9" t="s">
        <v>3</v>
      </c>
      <c r="B9" t="s">
        <v>67</v>
      </c>
      <c r="C9" t="s">
        <v>20</v>
      </c>
    </row>
    <row r="10" spans="1:13">
      <c r="A10" t="s">
        <v>4</v>
      </c>
      <c r="B10" t="s">
        <v>29</v>
      </c>
      <c r="C10" t="s">
        <v>20</v>
      </c>
    </row>
    <row r="11" spans="1:13">
      <c r="A11" t="s">
        <v>6</v>
      </c>
      <c r="B11" t="s">
        <v>51</v>
      </c>
      <c r="C11" t="s">
        <v>20</v>
      </c>
    </row>
    <row r="12" spans="1:13">
      <c r="A12" t="s">
        <v>123</v>
      </c>
      <c r="B12" t="s">
        <v>141</v>
      </c>
      <c r="C12" t="s">
        <v>20</v>
      </c>
    </row>
    <row r="13" spans="1:13">
      <c r="A13" t="s">
        <v>124</v>
      </c>
      <c r="B13" t="s">
        <v>142</v>
      </c>
      <c r="C13" t="s">
        <v>20</v>
      </c>
    </row>
    <row r="14" spans="1:13">
      <c r="A14" t="s">
        <v>495</v>
      </c>
      <c r="B14" t="s">
        <v>564</v>
      </c>
      <c r="C14" t="s">
        <v>20</v>
      </c>
    </row>
    <row r="15" spans="1:13">
      <c r="A15" t="s">
        <v>125</v>
      </c>
      <c r="B15" t="s">
        <v>143</v>
      </c>
      <c r="C15" t="s">
        <v>20</v>
      </c>
    </row>
    <row r="16" spans="1:13">
      <c r="A16" t="s">
        <v>126</v>
      </c>
      <c r="B16" t="s">
        <v>144</v>
      </c>
      <c r="C16" t="s">
        <v>20</v>
      </c>
    </row>
    <row r="17" spans="1:10">
      <c r="A17" t="s">
        <v>497</v>
      </c>
      <c r="B17" t="s">
        <v>565</v>
      </c>
      <c r="C17" t="s">
        <v>20</v>
      </c>
    </row>
    <row r="18" spans="1:10">
      <c r="A18" t="s">
        <v>127</v>
      </c>
      <c r="B18" t="s">
        <v>67</v>
      </c>
      <c r="C18" t="s">
        <v>20</v>
      </c>
    </row>
    <row r="19" spans="1:10">
      <c r="A19" t="s">
        <v>128</v>
      </c>
      <c r="B19" t="s">
        <v>20</v>
      </c>
      <c r="C19" t="s">
        <v>20</v>
      </c>
      <c r="D19" t="s">
        <v>499</v>
      </c>
    </row>
    <row r="20" spans="1:10">
      <c r="A20" t="s">
        <v>500</v>
      </c>
      <c r="B20" t="s">
        <v>501</v>
      </c>
      <c r="C20" t="s">
        <v>20</v>
      </c>
    </row>
    <row r="22" spans="1:10">
      <c r="A22" s="6" t="s">
        <v>502</v>
      </c>
      <c r="B22" s="6"/>
      <c r="C22" s="6"/>
      <c r="D22" s="6"/>
      <c r="E22" s="6"/>
      <c r="F22" s="6"/>
      <c r="G22" s="6"/>
      <c r="H22" s="6"/>
      <c r="I22" s="6"/>
      <c r="J22" s="6"/>
    </row>
    <row r="23" spans="1:10">
      <c r="A23" s="1" t="s">
        <v>503</v>
      </c>
      <c r="B23" s="1" t="s">
        <v>3</v>
      </c>
      <c r="C23" s="1" t="s">
        <v>459</v>
      </c>
      <c r="D23" s="1" t="s">
        <v>126</v>
      </c>
      <c r="E23" s="1" t="s">
        <v>461</v>
      </c>
      <c r="F23" s="1" t="s">
        <v>440</v>
      </c>
    </row>
    <row r="24" spans="1:10">
      <c r="A24" t="s">
        <v>504</v>
      </c>
      <c r="F24" t="s">
        <v>20</v>
      </c>
    </row>
    <row r="25" spans="1:10">
      <c r="A25" t="s">
        <v>505</v>
      </c>
      <c r="F25" t="s">
        <v>20</v>
      </c>
    </row>
    <row r="26" spans="1:10">
      <c r="A26" t="s">
        <v>506</v>
      </c>
      <c r="F26" t="s">
        <v>20</v>
      </c>
    </row>
    <row r="27" spans="1:10">
      <c r="A27" t="s">
        <v>507</v>
      </c>
      <c r="F27" t="s">
        <v>20</v>
      </c>
    </row>
    <row r="28" spans="1:10">
      <c r="A28" t="s">
        <v>508</v>
      </c>
      <c r="F28" t="s">
        <v>20</v>
      </c>
    </row>
    <row r="29" spans="1:10">
      <c r="A29" t="s">
        <v>509</v>
      </c>
      <c r="F29" t="s">
        <v>20</v>
      </c>
    </row>
    <row r="31" spans="1:10">
      <c r="A31" s="6" t="s">
        <v>510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s="1" t="s">
        <v>10</v>
      </c>
      <c r="B32" s="1" t="s">
        <v>80</v>
      </c>
      <c r="C32" s="1" t="s">
        <v>3</v>
      </c>
      <c r="D32" s="1" t="s">
        <v>459</v>
      </c>
      <c r="E32" s="1" t="s">
        <v>511</v>
      </c>
      <c r="F32" s="1" t="s">
        <v>461</v>
      </c>
      <c r="G32" s="1" t="s">
        <v>440</v>
      </c>
    </row>
    <row r="33" spans="1:13">
      <c r="A33" t="s">
        <v>23</v>
      </c>
      <c r="B33" t="s">
        <v>32</v>
      </c>
      <c r="C33" t="s">
        <v>16</v>
      </c>
      <c r="G33" t="s">
        <v>20</v>
      </c>
    </row>
    <row r="34" spans="1:13">
      <c r="A34" t="s">
        <v>35</v>
      </c>
      <c r="B34" t="s">
        <v>32</v>
      </c>
      <c r="C34" t="s">
        <v>16</v>
      </c>
      <c r="G34" t="s">
        <v>20</v>
      </c>
    </row>
    <row r="35" spans="1:13">
      <c r="A35" t="s">
        <v>46</v>
      </c>
      <c r="B35" t="s">
        <v>32</v>
      </c>
      <c r="C35" t="s">
        <v>16</v>
      </c>
      <c r="G35" t="s">
        <v>20</v>
      </c>
    </row>
    <row r="36" spans="1:13">
      <c r="A36" t="s">
        <v>56</v>
      </c>
      <c r="B36" t="s">
        <v>32</v>
      </c>
      <c r="C36" t="s">
        <v>16</v>
      </c>
      <c r="G36" t="s">
        <v>20</v>
      </c>
    </row>
    <row r="37" spans="1:13">
      <c r="A37" t="s">
        <v>36</v>
      </c>
      <c r="B37" t="s">
        <v>32</v>
      </c>
      <c r="C37" t="s">
        <v>16</v>
      </c>
      <c r="G37" t="s">
        <v>20</v>
      </c>
    </row>
    <row r="38" spans="1:13">
      <c r="A38" t="s">
        <v>71</v>
      </c>
      <c r="B38" t="s">
        <v>32</v>
      </c>
      <c r="C38" t="s">
        <v>16</v>
      </c>
      <c r="G38" t="s">
        <v>20</v>
      </c>
    </row>
    <row r="40" spans="1:13">
      <c r="A40" s="6" t="s">
        <v>512</v>
      </c>
      <c r="B40" s="6"/>
      <c r="C40" s="6"/>
      <c r="D40" s="6"/>
      <c r="E40" s="6"/>
      <c r="F40" s="6"/>
      <c r="G40" s="6"/>
      <c r="H40" s="6"/>
      <c r="I40" s="6"/>
      <c r="J40" s="6"/>
    </row>
    <row r="41" spans="1:13">
      <c r="A41" s="1" t="s">
        <v>513</v>
      </c>
      <c r="B41" s="1" t="s">
        <v>514</v>
      </c>
      <c r="C41" s="1" t="s">
        <v>515</v>
      </c>
      <c r="D41" s="1" t="s">
        <v>3</v>
      </c>
      <c r="E41" s="1" t="s">
        <v>459</v>
      </c>
      <c r="F41" s="1" t="s">
        <v>126</v>
      </c>
      <c r="G41" s="1" t="s">
        <v>461</v>
      </c>
      <c r="H41" s="1" t="s">
        <v>440</v>
      </c>
    </row>
    <row r="42" spans="1:13">
      <c r="A42" t="s">
        <v>516</v>
      </c>
      <c r="B42">
        <v>0</v>
      </c>
      <c r="C42">
        <v>0</v>
      </c>
      <c r="D42" t="s">
        <v>16</v>
      </c>
      <c r="H42" t="s">
        <v>20</v>
      </c>
    </row>
    <row r="43" spans="1:13">
      <c r="A43" t="s">
        <v>517</v>
      </c>
      <c r="B43">
        <v>0</v>
      </c>
      <c r="C43">
        <v>0</v>
      </c>
      <c r="D43" t="s">
        <v>16</v>
      </c>
      <c r="H43" t="s">
        <v>20</v>
      </c>
    </row>
    <row r="44" spans="1:13">
      <c r="A44" t="s">
        <v>518</v>
      </c>
      <c r="B44">
        <v>0</v>
      </c>
      <c r="C44">
        <v>0</v>
      </c>
      <c r="D44" t="s">
        <v>16</v>
      </c>
      <c r="H44" t="s">
        <v>20</v>
      </c>
    </row>
    <row r="45" spans="1:13">
      <c r="A45" t="s">
        <v>519</v>
      </c>
      <c r="B45">
        <v>0</v>
      </c>
      <c r="C45">
        <v>0</v>
      </c>
      <c r="D45" t="s">
        <v>16</v>
      </c>
      <c r="H45" t="s">
        <v>20</v>
      </c>
    </row>
    <row r="47" spans="1:13">
      <c r="A47" s="6" t="s">
        <v>520</v>
      </c>
      <c r="B47" s="6"/>
      <c r="C47" s="6"/>
      <c r="D47" s="6"/>
      <c r="E47" s="6"/>
      <c r="F47" s="6"/>
      <c r="G47" s="6"/>
      <c r="H47" s="6"/>
      <c r="I47" s="6"/>
      <c r="J47" s="6"/>
    </row>
    <row r="48" spans="1:13">
      <c r="A48" s="7" t="s">
        <v>521</v>
      </c>
      <c r="B48" s="7" t="s">
        <v>190</v>
      </c>
      <c r="C48" s="7" t="s">
        <v>192</v>
      </c>
      <c r="D48" s="7" t="s">
        <v>121</v>
      </c>
      <c r="E48" s="7" t="s">
        <v>522</v>
      </c>
      <c r="F48" s="7" t="s">
        <v>523</v>
      </c>
      <c r="G48" s="7" t="s">
        <v>195</v>
      </c>
      <c r="H48" s="7" t="s">
        <v>196</v>
      </c>
      <c r="I48" s="7" t="s">
        <v>3</v>
      </c>
      <c r="J48" s="7" t="s">
        <v>459</v>
      </c>
      <c r="K48" s="11" t="s">
        <v>511</v>
      </c>
      <c r="L48" s="11" t="s">
        <v>461</v>
      </c>
      <c r="M48" s="11" t="s">
        <v>440</v>
      </c>
    </row>
    <row r="49" spans="1:13">
      <c r="A49" s="4">
        <v>1</v>
      </c>
      <c r="B49" s="4" t="s">
        <v>200</v>
      </c>
      <c r="C49" s="4" t="s">
        <v>25</v>
      </c>
      <c r="D49" s="4" t="s">
        <v>201</v>
      </c>
      <c r="E49" s="4" t="s">
        <v>202</v>
      </c>
      <c r="F49" s="4" t="s">
        <v>178</v>
      </c>
      <c r="G49" s="4"/>
      <c r="H49" s="4" t="s">
        <v>203</v>
      </c>
      <c r="I49" s="4" t="s">
        <v>16</v>
      </c>
      <c r="J49" s="4"/>
      <c r="K49" s="4"/>
      <c r="L49" s="4"/>
      <c r="M49" s="4" t="s">
        <v>20</v>
      </c>
    </row>
    <row r="50" spans="1:13">
      <c r="A50" s="4">
        <v>2</v>
      </c>
      <c r="B50" s="4" t="s">
        <v>203</v>
      </c>
      <c r="C50" s="4" t="s">
        <v>25</v>
      </c>
      <c r="D50" s="4" t="s">
        <v>204</v>
      </c>
      <c r="E50" s="4" t="s">
        <v>205</v>
      </c>
      <c r="F50" s="4" t="s">
        <v>206</v>
      </c>
      <c r="G50" s="4" t="s">
        <v>200</v>
      </c>
      <c r="H50" s="4" t="s">
        <v>207</v>
      </c>
      <c r="I50" s="4" t="s">
        <v>16</v>
      </c>
      <c r="J50" s="4"/>
      <c r="K50" s="4"/>
      <c r="L50" s="4"/>
      <c r="M50" s="4" t="s">
        <v>20</v>
      </c>
    </row>
    <row r="51" spans="1:13">
      <c r="A51" s="4">
        <v>3</v>
      </c>
      <c r="B51" s="4" t="s">
        <v>207</v>
      </c>
      <c r="C51" s="4" t="s">
        <v>25</v>
      </c>
      <c r="D51" s="4" t="s">
        <v>208</v>
      </c>
      <c r="E51" s="4" t="s">
        <v>209</v>
      </c>
      <c r="F51" s="4" t="s">
        <v>206</v>
      </c>
      <c r="G51" s="4" t="s">
        <v>203</v>
      </c>
      <c r="H51" s="4" t="s">
        <v>210</v>
      </c>
      <c r="I51" s="4" t="s">
        <v>16</v>
      </c>
      <c r="J51" s="4"/>
      <c r="K51" s="4"/>
      <c r="L51" s="4"/>
      <c r="M51" s="4" t="s">
        <v>20</v>
      </c>
    </row>
    <row r="52" spans="1:13">
      <c r="A52" s="4">
        <v>4</v>
      </c>
      <c r="B52" s="4" t="s">
        <v>210</v>
      </c>
      <c r="C52" s="4" t="s">
        <v>25</v>
      </c>
      <c r="D52" s="4" t="s">
        <v>211</v>
      </c>
      <c r="E52" s="4" t="s">
        <v>212</v>
      </c>
      <c r="F52" s="4" t="s">
        <v>178</v>
      </c>
      <c r="G52" s="4" t="s">
        <v>207</v>
      </c>
      <c r="H52" s="4" t="s">
        <v>213</v>
      </c>
      <c r="I52" s="4" t="s">
        <v>16</v>
      </c>
      <c r="J52" s="4"/>
      <c r="K52" s="4"/>
      <c r="L52" s="4"/>
      <c r="M52" s="4" t="s">
        <v>20</v>
      </c>
    </row>
    <row r="53" spans="1:13" ht="28">
      <c r="A53" s="4">
        <v>5</v>
      </c>
      <c r="B53" s="4" t="s">
        <v>214</v>
      </c>
      <c r="C53" s="4" t="s">
        <v>25</v>
      </c>
      <c r="D53" s="4" t="s">
        <v>215</v>
      </c>
      <c r="E53" s="4" t="s">
        <v>216</v>
      </c>
      <c r="F53" s="4" t="s">
        <v>217</v>
      </c>
      <c r="G53" s="4" t="s">
        <v>210</v>
      </c>
      <c r="H53" s="4" t="s">
        <v>218</v>
      </c>
      <c r="I53" s="4" t="s">
        <v>16</v>
      </c>
      <c r="J53" s="4"/>
      <c r="K53" s="4"/>
      <c r="L53" s="4"/>
      <c r="M53" s="4" t="s">
        <v>20</v>
      </c>
    </row>
    <row r="54" spans="1:13">
      <c r="A54" s="4">
        <v>6</v>
      </c>
      <c r="B54" s="4" t="s">
        <v>219</v>
      </c>
      <c r="C54" s="4" t="s">
        <v>25</v>
      </c>
      <c r="D54" s="4" t="s">
        <v>220</v>
      </c>
      <c r="E54" s="4" t="s">
        <v>221</v>
      </c>
      <c r="F54" s="4" t="s">
        <v>217</v>
      </c>
      <c r="G54" s="4" t="s">
        <v>207</v>
      </c>
      <c r="H54" s="4" t="s">
        <v>222</v>
      </c>
      <c r="I54" s="4" t="s">
        <v>16</v>
      </c>
      <c r="J54" s="4"/>
      <c r="K54" s="4"/>
      <c r="L54" s="4"/>
      <c r="M54" s="4" t="s">
        <v>20</v>
      </c>
    </row>
    <row r="55" spans="1:13" ht="28">
      <c r="A55" s="4">
        <v>7</v>
      </c>
      <c r="B55" s="4" t="s">
        <v>223</v>
      </c>
      <c r="C55" s="4" t="s">
        <v>25</v>
      </c>
      <c r="D55" s="4" t="s">
        <v>224</v>
      </c>
      <c r="E55" s="4" t="s">
        <v>225</v>
      </c>
      <c r="F55" s="4" t="s">
        <v>226</v>
      </c>
      <c r="G55" s="4" t="s">
        <v>210</v>
      </c>
      <c r="H55" s="4" t="s">
        <v>227</v>
      </c>
      <c r="I55" s="4" t="s">
        <v>16</v>
      </c>
      <c r="J55" s="4"/>
      <c r="K55" s="4"/>
      <c r="L55" s="4"/>
      <c r="M55" s="4" t="s">
        <v>20</v>
      </c>
    </row>
    <row r="56" spans="1:13">
      <c r="A56" s="4">
        <v>8</v>
      </c>
      <c r="B56" s="4" t="s">
        <v>228</v>
      </c>
      <c r="C56" s="4" t="s">
        <v>25</v>
      </c>
      <c r="D56" s="4" t="s">
        <v>229</v>
      </c>
      <c r="E56" s="4" t="s">
        <v>230</v>
      </c>
      <c r="F56" s="4" t="s">
        <v>231</v>
      </c>
      <c r="G56" s="4" t="s">
        <v>214</v>
      </c>
      <c r="H56" s="4" t="s">
        <v>232</v>
      </c>
      <c r="I56" s="4" t="s">
        <v>16</v>
      </c>
      <c r="J56" s="4"/>
      <c r="K56" s="4"/>
      <c r="L56" s="4"/>
      <c r="M56" s="4" t="s">
        <v>20</v>
      </c>
    </row>
    <row r="57" spans="1:13">
      <c r="A57" s="4">
        <v>9</v>
      </c>
      <c r="B57" s="4" t="s">
        <v>233</v>
      </c>
      <c r="C57" s="4" t="s">
        <v>25</v>
      </c>
      <c r="D57" s="4" t="s">
        <v>234</v>
      </c>
      <c r="E57" s="4" t="s">
        <v>235</v>
      </c>
      <c r="F57" s="4" t="s">
        <v>206</v>
      </c>
      <c r="G57" s="4" t="s">
        <v>214</v>
      </c>
      <c r="H57" s="4" t="s">
        <v>232</v>
      </c>
      <c r="I57" s="4" t="s">
        <v>16</v>
      </c>
      <c r="J57" s="4"/>
      <c r="K57" s="4"/>
      <c r="L57" s="4"/>
      <c r="M57" s="4" t="s">
        <v>20</v>
      </c>
    </row>
    <row r="58" spans="1:13" ht="28">
      <c r="A58" s="4">
        <v>10</v>
      </c>
      <c r="B58" s="4" t="s">
        <v>236</v>
      </c>
      <c r="C58" s="4" t="s">
        <v>37</v>
      </c>
      <c r="D58" s="4" t="s">
        <v>237</v>
      </c>
      <c r="E58" s="4" t="s">
        <v>238</v>
      </c>
      <c r="F58" s="4" t="s">
        <v>239</v>
      </c>
      <c r="G58" s="4" t="s">
        <v>219</v>
      </c>
      <c r="H58" s="4" t="s">
        <v>240</v>
      </c>
      <c r="I58" s="4" t="s">
        <v>16</v>
      </c>
      <c r="J58" s="4"/>
      <c r="K58" s="4"/>
      <c r="L58" s="4"/>
      <c r="M58" s="4" t="s">
        <v>20</v>
      </c>
    </row>
    <row r="59" spans="1:13" ht="28">
      <c r="A59" s="4">
        <v>11</v>
      </c>
      <c r="B59" s="4" t="s">
        <v>241</v>
      </c>
      <c r="C59" s="4" t="s">
        <v>37</v>
      </c>
      <c r="D59" s="4" t="s">
        <v>242</v>
      </c>
      <c r="E59" s="4" t="s">
        <v>243</v>
      </c>
      <c r="F59" s="4" t="s">
        <v>239</v>
      </c>
      <c r="G59" s="4" t="s">
        <v>219</v>
      </c>
      <c r="H59" s="4" t="s">
        <v>244</v>
      </c>
      <c r="I59" s="4" t="s">
        <v>16</v>
      </c>
      <c r="J59" s="4"/>
      <c r="K59" s="4"/>
      <c r="L59" s="4"/>
      <c r="M59" s="4" t="s">
        <v>20</v>
      </c>
    </row>
    <row r="60" spans="1:13" ht="28">
      <c r="A60" s="4">
        <v>12</v>
      </c>
      <c r="B60" s="4" t="s">
        <v>245</v>
      </c>
      <c r="C60" s="4" t="s">
        <v>37</v>
      </c>
      <c r="D60" s="4" t="s">
        <v>246</v>
      </c>
      <c r="E60" s="4" t="s">
        <v>247</v>
      </c>
      <c r="F60" s="4" t="s">
        <v>248</v>
      </c>
      <c r="G60" s="4" t="s">
        <v>241</v>
      </c>
      <c r="H60" s="4" t="s">
        <v>249</v>
      </c>
      <c r="I60" s="4" t="s">
        <v>16</v>
      </c>
      <c r="J60" s="4"/>
      <c r="K60" s="4"/>
      <c r="L60" s="4"/>
      <c r="M60" s="4" t="s">
        <v>20</v>
      </c>
    </row>
    <row r="61" spans="1:13" ht="28">
      <c r="A61" s="4">
        <v>13</v>
      </c>
      <c r="B61" s="4" t="s">
        <v>250</v>
      </c>
      <c r="C61" s="4" t="s">
        <v>37</v>
      </c>
      <c r="D61" s="4" t="s">
        <v>251</v>
      </c>
      <c r="E61" s="4" t="s">
        <v>252</v>
      </c>
      <c r="F61" s="4" t="s">
        <v>248</v>
      </c>
      <c r="G61" s="4" t="s">
        <v>245</v>
      </c>
      <c r="H61" s="4" t="s">
        <v>253</v>
      </c>
      <c r="I61" s="4" t="s">
        <v>16</v>
      </c>
      <c r="J61" s="4"/>
      <c r="K61" s="4"/>
      <c r="L61" s="4"/>
      <c r="M61" s="4" t="s">
        <v>20</v>
      </c>
    </row>
    <row r="62" spans="1:13" ht="28">
      <c r="A62" s="4">
        <v>14</v>
      </c>
      <c r="B62" s="4" t="s">
        <v>254</v>
      </c>
      <c r="C62" s="4" t="s">
        <v>37</v>
      </c>
      <c r="D62" s="4" t="s">
        <v>255</v>
      </c>
      <c r="E62" s="4" t="s">
        <v>256</v>
      </c>
      <c r="F62" s="4" t="s">
        <v>257</v>
      </c>
      <c r="G62" s="4" t="s">
        <v>250</v>
      </c>
      <c r="H62" s="4" t="s">
        <v>258</v>
      </c>
      <c r="I62" s="4" t="s">
        <v>16</v>
      </c>
      <c r="J62" s="4"/>
      <c r="K62" s="4"/>
      <c r="L62" s="4"/>
      <c r="M62" s="4" t="s">
        <v>20</v>
      </c>
    </row>
    <row r="63" spans="1:13" ht="28">
      <c r="A63" s="4">
        <v>15</v>
      </c>
      <c r="B63" s="4" t="s">
        <v>240</v>
      </c>
      <c r="C63" s="4" t="s">
        <v>48</v>
      </c>
      <c r="D63" s="4" t="s">
        <v>259</v>
      </c>
      <c r="E63" s="4" t="s">
        <v>260</v>
      </c>
      <c r="F63" s="4" t="s">
        <v>226</v>
      </c>
      <c r="G63" s="4" t="s">
        <v>261</v>
      </c>
      <c r="H63" s="4" t="s">
        <v>262</v>
      </c>
      <c r="I63" s="4" t="s">
        <v>16</v>
      </c>
      <c r="J63" s="4"/>
      <c r="K63" s="4"/>
      <c r="L63" s="4"/>
      <c r="M63" s="4" t="s">
        <v>20</v>
      </c>
    </row>
    <row r="64" spans="1:13" ht="28">
      <c r="A64" s="4">
        <v>16</v>
      </c>
      <c r="B64" s="4" t="s">
        <v>262</v>
      </c>
      <c r="C64" s="4" t="s">
        <v>48</v>
      </c>
      <c r="D64" s="4" t="s">
        <v>263</v>
      </c>
      <c r="E64" s="4" t="s">
        <v>264</v>
      </c>
      <c r="F64" s="4" t="s">
        <v>239</v>
      </c>
      <c r="G64" s="4" t="s">
        <v>240</v>
      </c>
      <c r="H64" s="4" t="s">
        <v>265</v>
      </c>
      <c r="I64" s="4" t="s">
        <v>16</v>
      </c>
      <c r="J64" s="4"/>
      <c r="K64" s="4"/>
      <c r="L64" s="4"/>
      <c r="M64" s="4" t="s">
        <v>20</v>
      </c>
    </row>
    <row r="65" spans="1:13">
      <c r="A65" s="4">
        <v>17</v>
      </c>
      <c r="B65" s="4" t="s">
        <v>266</v>
      </c>
      <c r="C65" s="4" t="s">
        <v>48</v>
      </c>
      <c r="D65" s="4" t="s">
        <v>267</v>
      </c>
      <c r="E65" s="4" t="s">
        <v>268</v>
      </c>
      <c r="F65" s="4" t="s">
        <v>239</v>
      </c>
      <c r="G65" s="4" t="s">
        <v>269</v>
      </c>
      <c r="H65" s="4" t="s">
        <v>270</v>
      </c>
      <c r="I65" s="4" t="s">
        <v>16</v>
      </c>
      <c r="J65" s="4"/>
      <c r="K65" s="4"/>
      <c r="L65" s="4"/>
      <c r="M65" s="4" t="s">
        <v>20</v>
      </c>
    </row>
    <row r="66" spans="1:13">
      <c r="A66" s="4">
        <v>18</v>
      </c>
      <c r="B66" s="4" t="s">
        <v>271</v>
      </c>
      <c r="C66" s="4" t="s">
        <v>48</v>
      </c>
      <c r="D66" s="4" t="s">
        <v>272</v>
      </c>
      <c r="E66" s="4" t="s">
        <v>273</v>
      </c>
      <c r="F66" s="4" t="s">
        <v>274</v>
      </c>
      <c r="G66" s="4" t="s">
        <v>275</v>
      </c>
      <c r="H66" s="4" t="s">
        <v>276</v>
      </c>
      <c r="I66" s="4" t="s">
        <v>16</v>
      </c>
      <c r="J66" s="4"/>
      <c r="K66" s="4"/>
      <c r="L66" s="4"/>
      <c r="M66" s="4" t="s">
        <v>20</v>
      </c>
    </row>
    <row r="67" spans="1:13">
      <c r="A67" s="4">
        <v>19</v>
      </c>
      <c r="B67" s="4" t="s">
        <v>277</v>
      </c>
      <c r="C67" s="4" t="s">
        <v>48</v>
      </c>
      <c r="D67" s="4" t="s">
        <v>278</v>
      </c>
      <c r="E67" s="4" t="s">
        <v>279</v>
      </c>
      <c r="F67" s="4" t="s">
        <v>274</v>
      </c>
      <c r="G67" s="4" t="s">
        <v>271</v>
      </c>
      <c r="H67" s="4" t="s">
        <v>280</v>
      </c>
      <c r="I67" s="4" t="s">
        <v>16</v>
      </c>
      <c r="J67" s="4"/>
      <c r="K67" s="4"/>
      <c r="L67" s="4"/>
      <c r="M67" s="4" t="s">
        <v>20</v>
      </c>
    </row>
    <row r="68" spans="1:13">
      <c r="A68" s="4">
        <v>20</v>
      </c>
      <c r="B68" s="4" t="s">
        <v>280</v>
      </c>
      <c r="C68" s="4" t="s">
        <v>48</v>
      </c>
      <c r="D68" s="4" t="s">
        <v>281</v>
      </c>
      <c r="E68" s="4" t="s">
        <v>282</v>
      </c>
      <c r="F68" s="4" t="s">
        <v>283</v>
      </c>
      <c r="G68" s="4" t="s">
        <v>277</v>
      </c>
      <c r="H68" s="4" t="s">
        <v>284</v>
      </c>
      <c r="I68" s="4" t="s">
        <v>16</v>
      </c>
      <c r="J68" s="4"/>
      <c r="K68" s="4"/>
      <c r="L68" s="4"/>
      <c r="M68" s="4" t="s">
        <v>20</v>
      </c>
    </row>
    <row r="69" spans="1:13">
      <c r="A69" s="4">
        <v>21</v>
      </c>
      <c r="B69" s="4" t="s">
        <v>285</v>
      </c>
      <c r="C69" s="4" t="s">
        <v>48</v>
      </c>
      <c r="D69" s="4" t="s">
        <v>286</v>
      </c>
      <c r="E69" s="4" t="s">
        <v>287</v>
      </c>
      <c r="F69" s="4" t="s">
        <v>206</v>
      </c>
      <c r="G69" s="4" t="s">
        <v>265</v>
      </c>
      <c r="H69" s="4" t="s">
        <v>288</v>
      </c>
      <c r="I69" s="4" t="s">
        <v>16</v>
      </c>
      <c r="J69" s="4"/>
      <c r="K69" s="4"/>
      <c r="L69" s="4"/>
      <c r="M69" s="4" t="s">
        <v>20</v>
      </c>
    </row>
    <row r="70" spans="1:13">
      <c r="A70" s="4">
        <v>22</v>
      </c>
      <c r="B70" s="4" t="s">
        <v>288</v>
      </c>
      <c r="C70" s="4" t="s">
        <v>48</v>
      </c>
      <c r="D70" s="4" t="s">
        <v>289</v>
      </c>
      <c r="E70" s="4" t="s">
        <v>290</v>
      </c>
      <c r="F70" s="4" t="s">
        <v>239</v>
      </c>
      <c r="G70" s="4" t="s">
        <v>285</v>
      </c>
      <c r="H70" s="4" t="s">
        <v>291</v>
      </c>
      <c r="I70" s="4" t="s">
        <v>16</v>
      </c>
      <c r="J70" s="4"/>
      <c r="K70" s="4"/>
      <c r="L70" s="4"/>
      <c r="M70" s="4" t="s">
        <v>20</v>
      </c>
    </row>
    <row r="71" spans="1:13" ht="28">
      <c r="A71" s="4">
        <v>23</v>
      </c>
      <c r="B71" s="4" t="s">
        <v>291</v>
      </c>
      <c r="C71" s="4" t="s">
        <v>48</v>
      </c>
      <c r="D71" s="4" t="s">
        <v>292</v>
      </c>
      <c r="E71" s="4" t="s">
        <v>293</v>
      </c>
      <c r="F71" s="4" t="s">
        <v>206</v>
      </c>
      <c r="G71" s="4" t="s">
        <v>288</v>
      </c>
      <c r="H71" s="4" t="s">
        <v>294</v>
      </c>
      <c r="I71" s="4" t="s">
        <v>16</v>
      </c>
      <c r="J71" s="4"/>
      <c r="K71" s="4"/>
      <c r="L71" s="4"/>
      <c r="M71" s="4" t="s">
        <v>20</v>
      </c>
    </row>
    <row r="72" spans="1:13" ht="28">
      <c r="A72" s="4">
        <v>24</v>
      </c>
      <c r="B72" s="4" t="s">
        <v>294</v>
      </c>
      <c r="C72" s="4" t="s">
        <v>48</v>
      </c>
      <c r="D72" s="4" t="s">
        <v>295</v>
      </c>
      <c r="E72" s="4" t="s">
        <v>296</v>
      </c>
      <c r="F72" s="4" t="s">
        <v>297</v>
      </c>
      <c r="G72" s="4" t="s">
        <v>298</v>
      </c>
      <c r="H72" s="4" t="s">
        <v>299</v>
      </c>
      <c r="I72" s="4" t="s">
        <v>16</v>
      </c>
      <c r="J72" s="4"/>
      <c r="K72" s="4"/>
      <c r="L72" s="4"/>
      <c r="M72" s="4" t="s">
        <v>20</v>
      </c>
    </row>
    <row r="73" spans="1:13">
      <c r="A73" s="4">
        <v>25</v>
      </c>
      <c r="B73" s="4" t="s">
        <v>299</v>
      </c>
      <c r="C73" s="4" t="s">
        <v>48</v>
      </c>
      <c r="D73" s="4" t="s">
        <v>300</v>
      </c>
      <c r="E73" s="4" t="s">
        <v>301</v>
      </c>
      <c r="F73" s="4" t="s">
        <v>302</v>
      </c>
      <c r="G73" s="4" t="s">
        <v>294</v>
      </c>
      <c r="H73" s="4" t="s">
        <v>303</v>
      </c>
      <c r="I73" s="4" t="s">
        <v>16</v>
      </c>
      <c r="J73" s="4"/>
      <c r="K73" s="4"/>
      <c r="L73" s="4"/>
      <c r="M73" s="4" t="s">
        <v>20</v>
      </c>
    </row>
    <row r="74" spans="1:13">
      <c r="A74" s="4">
        <v>26</v>
      </c>
      <c r="B74" s="4" t="s">
        <v>304</v>
      </c>
      <c r="C74" s="4" t="s">
        <v>58</v>
      </c>
      <c r="D74" s="4" t="s">
        <v>305</v>
      </c>
      <c r="E74" s="4" t="s">
        <v>306</v>
      </c>
      <c r="F74" s="4" t="s">
        <v>239</v>
      </c>
      <c r="G74" s="4" t="s">
        <v>299</v>
      </c>
      <c r="H74" s="4" t="s">
        <v>307</v>
      </c>
      <c r="I74" s="4" t="s">
        <v>16</v>
      </c>
      <c r="J74" s="4"/>
      <c r="K74" s="4"/>
      <c r="L74" s="4"/>
      <c r="M74" s="4" t="s">
        <v>20</v>
      </c>
    </row>
    <row r="75" spans="1:13">
      <c r="A75" s="4">
        <v>27</v>
      </c>
      <c r="B75" s="4" t="s">
        <v>308</v>
      </c>
      <c r="C75" s="4" t="s">
        <v>58</v>
      </c>
      <c r="D75" s="4" t="s">
        <v>309</v>
      </c>
      <c r="E75" s="4" t="s">
        <v>310</v>
      </c>
      <c r="F75" s="4" t="s">
        <v>311</v>
      </c>
      <c r="G75" s="4" t="s">
        <v>304</v>
      </c>
      <c r="H75" s="4" t="s">
        <v>312</v>
      </c>
      <c r="I75" s="4" t="s">
        <v>16</v>
      </c>
      <c r="J75" s="4"/>
      <c r="K75" s="4"/>
      <c r="L75" s="4"/>
      <c r="M75" s="4" t="s">
        <v>20</v>
      </c>
    </row>
    <row r="76" spans="1:13" ht="28">
      <c r="A76" s="4">
        <v>28</v>
      </c>
      <c r="B76" s="4" t="s">
        <v>313</v>
      </c>
      <c r="C76" s="4" t="s">
        <v>58</v>
      </c>
      <c r="D76" s="4" t="s">
        <v>314</v>
      </c>
      <c r="E76" s="4" t="s">
        <v>315</v>
      </c>
      <c r="F76" s="4" t="s">
        <v>206</v>
      </c>
      <c r="G76" s="4" t="s">
        <v>299</v>
      </c>
      <c r="H76" s="4" t="s">
        <v>312</v>
      </c>
      <c r="I76" s="4" t="s">
        <v>16</v>
      </c>
      <c r="J76" s="4"/>
      <c r="K76" s="4"/>
      <c r="L76" s="4"/>
      <c r="M76" s="4" t="s">
        <v>20</v>
      </c>
    </row>
    <row r="77" spans="1:13">
      <c r="A77" s="4">
        <v>29</v>
      </c>
      <c r="B77" s="4" t="s">
        <v>312</v>
      </c>
      <c r="C77" s="4" t="s">
        <v>58</v>
      </c>
      <c r="D77" s="4" t="s">
        <v>316</v>
      </c>
      <c r="E77" s="4" t="s">
        <v>317</v>
      </c>
      <c r="F77" s="4" t="s">
        <v>248</v>
      </c>
      <c r="G77" s="4" t="s">
        <v>318</v>
      </c>
      <c r="H77" s="4" t="s">
        <v>319</v>
      </c>
      <c r="I77" s="4" t="s">
        <v>16</v>
      </c>
      <c r="J77" s="4"/>
      <c r="K77" s="4"/>
      <c r="L77" s="4"/>
      <c r="M77" s="4" t="s">
        <v>20</v>
      </c>
    </row>
    <row r="78" spans="1:13" ht="28">
      <c r="A78" s="4">
        <v>30</v>
      </c>
      <c r="B78" s="4" t="s">
        <v>319</v>
      </c>
      <c r="C78" s="4" t="s">
        <v>58</v>
      </c>
      <c r="D78" s="4" t="s">
        <v>259</v>
      </c>
      <c r="E78" s="4" t="s">
        <v>320</v>
      </c>
      <c r="F78" s="4" t="s">
        <v>226</v>
      </c>
      <c r="G78" s="4" t="s">
        <v>321</v>
      </c>
      <c r="H78" s="4" t="s">
        <v>322</v>
      </c>
      <c r="I78" s="4" t="s">
        <v>16</v>
      </c>
      <c r="J78" s="4"/>
      <c r="K78" s="4"/>
      <c r="L78" s="4"/>
      <c r="M78" s="4" t="s">
        <v>20</v>
      </c>
    </row>
    <row r="79" spans="1:13" ht="28">
      <c r="A79" s="4">
        <v>31</v>
      </c>
      <c r="B79" s="4" t="s">
        <v>322</v>
      </c>
      <c r="C79" s="4" t="s">
        <v>58</v>
      </c>
      <c r="D79" s="4" t="s">
        <v>263</v>
      </c>
      <c r="E79" s="4" t="s">
        <v>323</v>
      </c>
      <c r="F79" s="4" t="s">
        <v>239</v>
      </c>
      <c r="G79" s="4" t="s">
        <v>319</v>
      </c>
      <c r="H79" s="4" t="s">
        <v>324</v>
      </c>
      <c r="I79" s="4" t="s">
        <v>16</v>
      </c>
      <c r="J79" s="4"/>
      <c r="K79" s="4"/>
      <c r="L79" s="4"/>
      <c r="M79" s="4" t="s">
        <v>20</v>
      </c>
    </row>
    <row r="80" spans="1:13">
      <c r="A80" s="4">
        <v>32</v>
      </c>
      <c r="B80" s="4" t="s">
        <v>325</v>
      </c>
      <c r="C80" s="4" t="s">
        <v>58</v>
      </c>
      <c r="D80" s="4" t="s">
        <v>326</v>
      </c>
      <c r="E80" s="4" t="s">
        <v>327</v>
      </c>
      <c r="F80" s="4" t="s">
        <v>239</v>
      </c>
      <c r="G80" s="4" t="s">
        <v>328</v>
      </c>
      <c r="H80" s="4" t="s">
        <v>329</v>
      </c>
      <c r="I80" s="4" t="s">
        <v>16</v>
      </c>
      <c r="J80" s="4"/>
      <c r="K80" s="4"/>
      <c r="L80" s="4"/>
      <c r="M80" s="4" t="s">
        <v>20</v>
      </c>
    </row>
    <row r="81" spans="1:13">
      <c r="A81" s="4">
        <v>33</v>
      </c>
      <c r="B81" s="4" t="s">
        <v>330</v>
      </c>
      <c r="C81" s="4" t="s">
        <v>58</v>
      </c>
      <c r="D81" s="4" t="s">
        <v>331</v>
      </c>
      <c r="E81" s="4" t="s">
        <v>332</v>
      </c>
      <c r="F81" s="4" t="s">
        <v>274</v>
      </c>
      <c r="G81" s="4" t="s">
        <v>333</v>
      </c>
      <c r="H81" s="4" t="s">
        <v>334</v>
      </c>
      <c r="I81" s="4" t="s">
        <v>16</v>
      </c>
      <c r="J81" s="4"/>
      <c r="K81" s="4"/>
      <c r="L81" s="4"/>
      <c r="M81" s="4" t="s">
        <v>20</v>
      </c>
    </row>
    <row r="82" spans="1:13">
      <c r="A82" s="4">
        <v>34</v>
      </c>
      <c r="B82" s="4" t="s">
        <v>335</v>
      </c>
      <c r="C82" s="4" t="s">
        <v>58</v>
      </c>
      <c r="D82" s="4" t="s">
        <v>278</v>
      </c>
      <c r="E82" s="4" t="s">
        <v>336</v>
      </c>
      <c r="F82" s="4" t="s">
        <v>274</v>
      </c>
      <c r="G82" s="4" t="s">
        <v>330</v>
      </c>
      <c r="H82" s="4" t="s">
        <v>337</v>
      </c>
      <c r="I82" s="4" t="s">
        <v>16</v>
      </c>
      <c r="J82" s="4"/>
      <c r="K82" s="4"/>
      <c r="L82" s="4"/>
      <c r="M82" s="4" t="s">
        <v>20</v>
      </c>
    </row>
    <row r="83" spans="1:13">
      <c r="A83" s="4">
        <v>35</v>
      </c>
      <c r="B83" s="4" t="s">
        <v>337</v>
      </c>
      <c r="C83" s="4" t="s">
        <v>58</v>
      </c>
      <c r="D83" s="4" t="s">
        <v>281</v>
      </c>
      <c r="E83" s="4" t="s">
        <v>338</v>
      </c>
      <c r="F83" s="4" t="s">
        <v>283</v>
      </c>
      <c r="G83" s="4" t="s">
        <v>335</v>
      </c>
      <c r="H83" s="4" t="s">
        <v>339</v>
      </c>
      <c r="I83" s="4" t="s">
        <v>16</v>
      </c>
      <c r="J83" s="4"/>
      <c r="K83" s="4"/>
      <c r="L83" s="4"/>
      <c r="M83" s="4" t="s">
        <v>20</v>
      </c>
    </row>
    <row r="84" spans="1:13">
      <c r="A84" s="4">
        <v>36</v>
      </c>
      <c r="B84" s="4" t="s">
        <v>340</v>
      </c>
      <c r="C84" s="4" t="s">
        <v>58</v>
      </c>
      <c r="D84" s="4" t="s">
        <v>286</v>
      </c>
      <c r="E84" s="4" t="s">
        <v>341</v>
      </c>
      <c r="F84" s="4" t="s">
        <v>206</v>
      </c>
      <c r="G84" s="4" t="s">
        <v>324</v>
      </c>
      <c r="H84" s="4" t="s">
        <v>342</v>
      </c>
      <c r="I84" s="4" t="s">
        <v>16</v>
      </c>
      <c r="J84" s="4"/>
      <c r="K84" s="4"/>
      <c r="L84" s="4"/>
      <c r="M84" s="4" t="s">
        <v>20</v>
      </c>
    </row>
    <row r="85" spans="1:13">
      <c r="A85" s="4">
        <v>37</v>
      </c>
      <c r="B85" s="4" t="s">
        <v>342</v>
      </c>
      <c r="C85" s="4" t="s">
        <v>58</v>
      </c>
      <c r="D85" s="4" t="s">
        <v>289</v>
      </c>
      <c r="E85" s="4" t="s">
        <v>343</v>
      </c>
      <c r="F85" s="4" t="s">
        <v>239</v>
      </c>
      <c r="G85" s="4" t="s">
        <v>340</v>
      </c>
      <c r="H85" s="4" t="s">
        <v>344</v>
      </c>
      <c r="I85" s="4" t="s">
        <v>16</v>
      </c>
      <c r="J85" s="4"/>
      <c r="K85" s="4"/>
      <c r="L85" s="4"/>
      <c r="M85" s="4" t="s">
        <v>20</v>
      </c>
    </row>
    <row r="86" spans="1:13" ht="28">
      <c r="A86" s="4">
        <v>38</v>
      </c>
      <c r="B86" s="4" t="s">
        <v>344</v>
      </c>
      <c r="C86" s="4" t="s">
        <v>58</v>
      </c>
      <c r="D86" s="4" t="s">
        <v>292</v>
      </c>
      <c r="E86" s="4" t="s">
        <v>345</v>
      </c>
      <c r="F86" s="4" t="s">
        <v>206</v>
      </c>
      <c r="G86" s="4" t="s">
        <v>342</v>
      </c>
      <c r="H86" s="4" t="s">
        <v>346</v>
      </c>
      <c r="I86" s="4" t="s">
        <v>16</v>
      </c>
      <c r="J86" s="4"/>
      <c r="K86" s="4"/>
      <c r="L86" s="4"/>
      <c r="M86" s="4" t="s">
        <v>20</v>
      </c>
    </row>
    <row r="87" spans="1:13" ht="28">
      <c r="A87" s="4">
        <v>39</v>
      </c>
      <c r="B87" s="4" t="s">
        <v>346</v>
      </c>
      <c r="C87" s="4" t="s">
        <v>58</v>
      </c>
      <c r="D87" s="4" t="s">
        <v>295</v>
      </c>
      <c r="E87" s="4" t="s">
        <v>347</v>
      </c>
      <c r="F87" s="4" t="s">
        <v>297</v>
      </c>
      <c r="G87" s="4" t="s">
        <v>348</v>
      </c>
      <c r="H87" s="4" t="s">
        <v>349</v>
      </c>
      <c r="I87" s="4" t="s">
        <v>16</v>
      </c>
      <c r="J87" s="4"/>
      <c r="K87" s="4"/>
      <c r="L87" s="4"/>
      <c r="M87" s="4" t="s">
        <v>20</v>
      </c>
    </row>
    <row r="88" spans="1:13">
      <c r="A88" s="4">
        <v>40</v>
      </c>
      <c r="B88" s="4" t="s">
        <v>349</v>
      </c>
      <c r="C88" s="4" t="s">
        <v>58</v>
      </c>
      <c r="D88" s="4" t="s">
        <v>350</v>
      </c>
      <c r="E88" s="4" t="s">
        <v>351</v>
      </c>
      <c r="F88" s="4" t="s">
        <v>302</v>
      </c>
      <c r="G88" s="4" t="s">
        <v>346</v>
      </c>
      <c r="H88" s="4" t="s">
        <v>352</v>
      </c>
      <c r="I88" s="4" t="s">
        <v>16</v>
      </c>
      <c r="J88" s="4"/>
      <c r="K88" s="4"/>
      <c r="L88" s="4"/>
      <c r="M88" s="4" t="s">
        <v>20</v>
      </c>
    </row>
    <row r="89" spans="1:13">
      <c r="A89" s="4">
        <v>41</v>
      </c>
      <c r="B89" s="4" t="s">
        <v>353</v>
      </c>
      <c r="C89" s="4" t="s">
        <v>65</v>
      </c>
      <c r="D89" s="4" t="s">
        <v>354</v>
      </c>
      <c r="E89" s="4" t="s">
        <v>355</v>
      </c>
      <c r="F89" s="4" t="s">
        <v>356</v>
      </c>
      <c r="G89" s="4" t="s">
        <v>357</v>
      </c>
      <c r="H89" s="4" t="s">
        <v>358</v>
      </c>
      <c r="I89" s="4" t="s">
        <v>16</v>
      </c>
      <c r="J89" s="4"/>
      <c r="K89" s="4"/>
      <c r="L89" s="4"/>
      <c r="M89" s="4" t="s">
        <v>20</v>
      </c>
    </row>
    <row r="90" spans="1:13" ht="28">
      <c r="A90" s="4">
        <v>42</v>
      </c>
      <c r="B90" s="4" t="s">
        <v>359</v>
      </c>
      <c r="C90" s="4" t="s">
        <v>65</v>
      </c>
      <c r="D90" s="4" t="s">
        <v>360</v>
      </c>
      <c r="E90" s="4" t="s">
        <v>361</v>
      </c>
      <c r="F90" s="4" t="s">
        <v>206</v>
      </c>
      <c r="G90" s="4" t="s">
        <v>349</v>
      </c>
      <c r="H90" s="4" t="s">
        <v>362</v>
      </c>
      <c r="I90" s="4" t="s">
        <v>16</v>
      </c>
      <c r="J90" s="4"/>
      <c r="K90" s="4"/>
      <c r="L90" s="4"/>
      <c r="M90" s="4" t="s">
        <v>20</v>
      </c>
    </row>
    <row r="91" spans="1:13">
      <c r="A91" s="4">
        <v>43</v>
      </c>
      <c r="B91" s="4" t="s">
        <v>362</v>
      </c>
      <c r="C91" s="4" t="s">
        <v>65</v>
      </c>
      <c r="D91" s="4" t="s">
        <v>363</v>
      </c>
      <c r="E91" s="4" t="s">
        <v>364</v>
      </c>
      <c r="F91" s="4" t="s">
        <v>248</v>
      </c>
      <c r="G91" s="4" t="s">
        <v>365</v>
      </c>
      <c r="H91" s="4" t="s">
        <v>366</v>
      </c>
      <c r="I91" s="4" t="s">
        <v>16</v>
      </c>
      <c r="J91" s="4"/>
      <c r="K91" s="4"/>
      <c r="L91" s="4"/>
      <c r="M91" s="4" t="s">
        <v>20</v>
      </c>
    </row>
    <row r="92" spans="1:13">
      <c r="A92" s="4">
        <v>44</v>
      </c>
      <c r="B92" s="4" t="s">
        <v>366</v>
      </c>
      <c r="C92" s="4" t="s">
        <v>65</v>
      </c>
      <c r="D92" s="4" t="s">
        <v>367</v>
      </c>
      <c r="E92" s="4" t="s">
        <v>256</v>
      </c>
      <c r="F92" s="4" t="s">
        <v>257</v>
      </c>
      <c r="G92" s="4" t="s">
        <v>368</v>
      </c>
      <c r="H92" s="4" t="s">
        <v>358</v>
      </c>
      <c r="I92" s="4" t="s">
        <v>16</v>
      </c>
      <c r="J92" s="4"/>
      <c r="K92" s="4"/>
      <c r="L92" s="4"/>
      <c r="M92" s="4" t="s">
        <v>20</v>
      </c>
    </row>
    <row r="93" spans="1:13" ht="28">
      <c r="A93" s="4">
        <v>45</v>
      </c>
      <c r="B93" s="4" t="s">
        <v>358</v>
      </c>
      <c r="C93" s="4" t="s">
        <v>65</v>
      </c>
      <c r="D93" s="4" t="s">
        <v>259</v>
      </c>
      <c r="E93" s="4" t="s">
        <v>369</v>
      </c>
      <c r="F93" s="4" t="s">
        <v>226</v>
      </c>
      <c r="G93" s="4" t="s">
        <v>370</v>
      </c>
      <c r="H93" s="4" t="s">
        <v>371</v>
      </c>
      <c r="I93" s="4" t="s">
        <v>16</v>
      </c>
      <c r="J93" s="4"/>
      <c r="K93" s="4"/>
      <c r="L93" s="4"/>
      <c r="M93" s="4" t="s">
        <v>20</v>
      </c>
    </row>
    <row r="94" spans="1:13" ht="28">
      <c r="A94" s="4">
        <v>46</v>
      </c>
      <c r="B94" s="4" t="s">
        <v>371</v>
      </c>
      <c r="C94" s="4" t="s">
        <v>65</v>
      </c>
      <c r="D94" s="4" t="s">
        <v>263</v>
      </c>
      <c r="E94" s="4" t="s">
        <v>372</v>
      </c>
      <c r="F94" s="4" t="s">
        <v>239</v>
      </c>
      <c r="G94" s="4" t="s">
        <v>358</v>
      </c>
      <c r="H94" s="4" t="s">
        <v>373</v>
      </c>
      <c r="I94" s="4" t="s">
        <v>16</v>
      </c>
      <c r="J94" s="4"/>
      <c r="K94" s="4"/>
      <c r="L94" s="4"/>
      <c r="M94" s="4" t="s">
        <v>20</v>
      </c>
    </row>
    <row r="95" spans="1:13">
      <c r="A95" s="4">
        <v>47</v>
      </c>
      <c r="B95" s="4" t="s">
        <v>374</v>
      </c>
      <c r="C95" s="4" t="s">
        <v>65</v>
      </c>
      <c r="D95" s="4" t="s">
        <v>375</v>
      </c>
      <c r="E95" s="4" t="s">
        <v>376</v>
      </c>
      <c r="F95" s="4" t="s">
        <v>239</v>
      </c>
      <c r="G95" s="4" t="s">
        <v>377</v>
      </c>
      <c r="H95" s="4" t="s">
        <v>378</v>
      </c>
      <c r="I95" s="4" t="s">
        <v>16</v>
      </c>
      <c r="J95" s="4"/>
      <c r="K95" s="4"/>
      <c r="L95" s="4"/>
      <c r="M95" s="4" t="s">
        <v>20</v>
      </c>
    </row>
    <row r="96" spans="1:13">
      <c r="A96" s="4">
        <v>48</v>
      </c>
      <c r="B96" s="4" t="s">
        <v>379</v>
      </c>
      <c r="C96" s="4" t="s">
        <v>65</v>
      </c>
      <c r="D96" s="4" t="s">
        <v>380</v>
      </c>
      <c r="E96" s="4" t="s">
        <v>381</v>
      </c>
      <c r="F96" s="4" t="s">
        <v>274</v>
      </c>
      <c r="G96" s="4" t="s">
        <v>382</v>
      </c>
      <c r="H96" s="4" t="s">
        <v>383</v>
      </c>
      <c r="I96" s="4" t="s">
        <v>16</v>
      </c>
      <c r="J96" s="4"/>
      <c r="K96" s="4"/>
      <c r="L96" s="4"/>
      <c r="M96" s="4" t="s">
        <v>20</v>
      </c>
    </row>
    <row r="97" spans="1:13">
      <c r="A97" s="4">
        <v>49</v>
      </c>
      <c r="B97" s="4" t="s">
        <v>384</v>
      </c>
      <c r="C97" s="4" t="s">
        <v>65</v>
      </c>
      <c r="D97" s="4" t="s">
        <v>278</v>
      </c>
      <c r="E97" s="4" t="s">
        <v>385</v>
      </c>
      <c r="F97" s="4" t="s">
        <v>274</v>
      </c>
      <c r="G97" s="4" t="s">
        <v>379</v>
      </c>
      <c r="H97" s="4" t="s">
        <v>386</v>
      </c>
      <c r="I97" s="4" t="s">
        <v>16</v>
      </c>
      <c r="J97" s="4"/>
      <c r="K97" s="4"/>
      <c r="L97" s="4"/>
      <c r="M97" s="4" t="s">
        <v>20</v>
      </c>
    </row>
    <row r="98" spans="1:13">
      <c r="A98" s="4">
        <v>50</v>
      </c>
      <c r="B98" s="4" t="s">
        <v>386</v>
      </c>
      <c r="C98" s="4" t="s">
        <v>65</v>
      </c>
      <c r="D98" s="4" t="s">
        <v>281</v>
      </c>
      <c r="E98" s="4" t="s">
        <v>387</v>
      </c>
      <c r="F98" s="4" t="s">
        <v>283</v>
      </c>
      <c r="G98" s="4" t="s">
        <v>384</v>
      </c>
      <c r="H98" s="4" t="s">
        <v>388</v>
      </c>
      <c r="I98" s="4" t="s">
        <v>16</v>
      </c>
      <c r="J98" s="4"/>
      <c r="K98" s="4"/>
      <c r="L98" s="4"/>
      <c r="M98" s="4" t="s">
        <v>20</v>
      </c>
    </row>
    <row r="99" spans="1:13">
      <c r="A99" s="4">
        <v>51</v>
      </c>
      <c r="B99" s="4" t="s">
        <v>389</v>
      </c>
      <c r="C99" s="4" t="s">
        <v>65</v>
      </c>
      <c r="D99" s="4" t="s">
        <v>286</v>
      </c>
      <c r="E99" s="4" t="s">
        <v>390</v>
      </c>
      <c r="F99" s="4" t="s">
        <v>206</v>
      </c>
      <c r="G99" s="4" t="s">
        <v>373</v>
      </c>
      <c r="H99" s="4" t="s">
        <v>391</v>
      </c>
      <c r="I99" s="4" t="s">
        <v>16</v>
      </c>
      <c r="J99" s="4"/>
      <c r="K99" s="4"/>
      <c r="L99" s="4"/>
      <c r="M99" s="4" t="s">
        <v>20</v>
      </c>
    </row>
    <row r="100" spans="1:13">
      <c r="A100" s="4">
        <v>52</v>
      </c>
      <c r="B100" s="4" t="s">
        <v>391</v>
      </c>
      <c r="C100" s="4" t="s">
        <v>65</v>
      </c>
      <c r="D100" s="4" t="s">
        <v>289</v>
      </c>
      <c r="E100" s="4" t="s">
        <v>392</v>
      </c>
      <c r="F100" s="4" t="s">
        <v>239</v>
      </c>
      <c r="G100" s="4" t="s">
        <v>389</v>
      </c>
      <c r="H100" s="4" t="s">
        <v>393</v>
      </c>
      <c r="I100" s="4" t="s">
        <v>16</v>
      </c>
      <c r="J100" s="4"/>
      <c r="K100" s="4"/>
      <c r="L100" s="4"/>
      <c r="M100" s="4" t="s">
        <v>20</v>
      </c>
    </row>
    <row r="101" spans="1:13" ht="28">
      <c r="A101" s="4">
        <v>53</v>
      </c>
      <c r="B101" s="4" t="s">
        <v>393</v>
      </c>
      <c r="C101" s="4" t="s">
        <v>65</v>
      </c>
      <c r="D101" s="4" t="s">
        <v>292</v>
      </c>
      <c r="E101" s="4" t="s">
        <v>394</v>
      </c>
      <c r="F101" s="4" t="s">
        <v>206</v>
      </c>
      <c r="G101" s="4" t="s">
        <v>391</v>
      </c>
      <c r="H101" s="4" t="s">
        <v>395</v>
      </c>
      <c r="I101" s="4" t="s">
        <v>16</v>
      </c>
      <c r="J101" s="4"/>
      <c r="K101" s="4"/>
      <c r="L101" s="4"/>
      <c r="M101" s="4" t="s">
        <v>20</v>
      </c>
    </row>
    <row r="102" spans="1:13" ht="28">
      <c r="A102" s="4">
        <v>54</v>
      </c>
      <c r="B102" s="4" t="s">
        <v>395</v>
      </c>
      <c r="C102" s="4" t="s">
        <v>65</v>
      </c>
      <c r="D102" s="4" t="s">
        <v>295</v>
      </c>
      <c r="E102" s="4" t="s">
        <v>396</v>
      </c>
      <c r="F102" s="4" t="s">
        <v>297</v>
      </c>
      <c r="G102" s="4" t="s">
        <v>397</v>
      </c>
      <c r="H102" s="4" t="s">
        <v>398</v>
      </c>
      <c r="I102" s="4" t="s">
        <v>16</v>
      </c>
      <c r="J102" s="4"/>
      <c r="K102" s="4"/>
      <c r="L102" s="4"/>
      <c r="M102" s="4" t="s">
        <v>20</v>
      </c>
    </row>
    <row r="103" spans="1:13">
      <c r="A103" s="4">
        <v>55</v>
      </c>
      <c r="B103" s="4" t="s">
        <v>398</v>
      </c>
      <c r="C103" s="4" t="s">
        <v>65</v>
      </c>
      <c r="D103" s="4" t="s">
        <v>399</v>
      </c>
      <c r="E103" s="4" t="s">
        <v>400</v>
      </c>
      <c r="F103" s="4" t="s">
        <v>297</v>
      </c>
      <c r="G103" s="4" t="s">
        <v>395</v>
      </c>
      <c r="H103" s="4" t="s">
        <v>401</v>
      </c>
      <c r="I103" s="4" t="s">
        <v>16</v>
      </c>
      <c r="J103" s="4"/>
      <c r="K103" s="4"/>
      <c r="L103" s="4"/>
      <c r="M103" s="4" t="s">
        <v>20</v>
      </c>
    </row>
    <row r="104" spans="1:13">
      <c r="A104" s="4">
        <v>56</v>
      </c>
      <c r="B104" s="4" t="s">
        <v>402</v>
      </c>
      <c r="C104" s="4" t="s">
        <v>65</v>
      </c>
      <c r="D104" s="4" t="s">
        <v>403</v>
      </c>
      <c r="E104" s="4" t="s">
        <v>404</v>
      </c>
      <c r="F104" s="4" t="s">
        <v>302</v>
      </c>
      <c r="G104" s="4" t="s">
        <v>398</v>
      </c>
      <c r="H104" s="4" t="s">
        <v>405</v>
      </c>
      <c r="I104" s="4" t="s">
        <v>16</v>
      </c>
      <c r="J104" s="4"/>
      <c r="K104" s="4"/>
      <c r="L104" s="4"/>
      <c r="M104" s="4" t="s">
        <v>20</v>
      </c>
    </row>
    <row r="105" spans="1:13">
      <c r="A105" s="4">
        <v>57</v>
      </c>
      <c r="B105" s="4" t="s">
        <v>406</v>
      </c>
      <c r="C105" s="4" t="s">
        <v>73</v>
      </c>
      <c r="D105" s="4" t="s">
        <v>407</v>
      </c>
      <c r="E105" s="4" t="s">
        <v>408</v>
      </c>
      <c r="F105" s="4" t="s">
        <v>206</v>
      </c>
      <c r="G105" s="4" t="s">
        <v>402</v>
      </c>
      <c r="H105" s="4" t="s">
        <v>409</v>
      </c>
      <c r="I105" s="4" t="s">
        <v>16</v>
      </c>
      <c r="J105" s="4"/>
      <c r="K105" s="4"/>
      <c r="L105" s="4"/>
      <c r="M105" s="4" t="s">
        <v>20</v>
      </c>
    </row>
    <row r="106" spans="1:13">
      <c r="A106" s="4">
        <v>58</v>
      </c>
      <c r="B106" s="4" t="s">
        <v>410</v>
      </c>
      <c r="C106" s="4" t="s">
        <v>73</v>
      </c>
      <c r="D106" s="4" t="s">
        <v>411</v>
      </c>
      <c r="E106" s="4" t="s">
        <v>412</v>
      </c>
      <c r="F106" s="4" t="s">
        <v>413</v>
      </c>
      <c r="G106" s="4" t="s">
        <v>398</v>
      </c>
      <c r="H106" s="4" t="s">
        <v>414</v>
      </c>
      <c r="I106" s="4" t="s">
        <v>16</v>
      </c>
      <c r="J106" s="4"/>
      <c r="K106" s="4"/>
      <c r="L106" s="4"/>
      <c r="M106" s="4" t="s">
        <v>20</v>
      </c>
    </row>
    <row r="107" spans="1:13">
      <c r="A107" s="4">
        <v>59</v>
      </c>
      <c r="B107" s="4" t="s">
        <v>415</v>
      </c>
      <c r="C107" s="4" t="s">
        <v>73</v>
      </c>
      <c r="D107" s="4" t="s">
        <v>416</v>
      </c>
      <c r="E107" s="4" t="s">
        <v>417</v>
      </c>
      <c r="F107" s="4" t="s">
        <v>178</v>
      </c>
      <c r="G107" s="4" t="s">
        <v>406</v>
      </c>
      <c r="H107" s="4" t="s">
        <v>414</v>
      </c>
      <c r="I107" s="4" t="s">
        <v>16</v>
      </c>
      <c r="J107" s="4"/>
      <c r="K107" s="4"/>
      <c r="L107" s="4"/>
      <c r="M107" s="4" t="s">
        <v>20</v>
      </c>
    </row>
    <row r="108" spans="1:13">
      <c r="A108" s="4">
        <v>60</v>
      </c>
      <c r="B108" s="4" t="s">
        <v>418</v>
      </c>
      <c r="C108" s="4" t="s">
        <v>73</v>
      </c>
      <c r="D108" s="4" t="s">
        <v>419</v>
      </c>
      <c r="E108" s="4" t="s">
        <v>420</v>
      </c>
      <c r="F108" s="4" t="s">
        <v>421</v>
      </c>
      <c r="G108" s="4" t="s">
        <v>422</v>
      </c>
      <c r="H108" s="4" t="s">
        <v>414</v>
      </c>
      <c r="I108" s="4" t="s">
        <v>16</v>
      </c>
      <c r="J108" s="4"/>
      <c r="K108" s="4"/>
      <c r="L108" s="4"/>
      <c r="M108" s="4" t="s">
        <v>20</v>
      </c>
    </row>
    <row r="109" spans="1:13">
      <c r="A109" s="4">
        <v>61</v>
      </c>
      <c r="B109" s="4" t="s">
        <v>423</v>
      </c>
      <c r="C109" s="4" t="s">
        <v>73</v>
      </c>
      <c r="D109" s="4" t="s">
        <v>424</v>
      </c>
      <c r="E109" s="4" t="s">
        <v>424</v>
      </c>
      <c r="F109" s="4" t="s">
        <v>425</v>
      </c>
      <c r="G109" s="4" t="s">
        <v>426</v>
      </c>
      <c r="H109" s="4" t="s">
        <v>414</v>
      </c>
      <c r="I109" s="4" t="s">
        <v>16</v>
      </c>
      <c r="J109" s="4"/>
      <c r="K109" s="4"/>
      <c r="L109" s="4"/>
      <c r="M109" s="4" t="s">
        <v>20</v>
      </c>
    </row>
    <row r="110" spans="1:13">
      <c r="A110" s="4">
        <v>62</v>
      </c>
      <c r="B110" s="4" t="s">
        <v>427</v>
      </c>
      <c r="C110" s="4" t="s">
        <v>73</v>
      </c>
      <c r="D110" s="4" t="s">
        <v>428</v>
      </c>
      <c r="E110" s="4" t="s">
        <v>429</v>
      </c>
      <c r="F110" s="4" t="s">
        <v>430</v>
      </c>
      <c r="G110" s="4" t="s">
        <v>426</v>
      </c>
      <c r="H110" s="4" t="s">
        <v>414</v>
      </c>
      <c r="I110" s="4" t="s">
        <v>16</v>
      </c>
      <c r="J110" s="4"/>
      <c r="K110" s="4"/>
      <c r="L110" s="4"/>
      <c r="M110" s="4" t="s">
        <v>20</v>
      </c>
    </row>
    <row r="111" spans="1:13">
      <c r="A111" s="4">
        <v>63</v>
      </c>
      <c r="B111" s="4" t="s">
        <v>414</v>
      </c>
      <c r="C111" s="4" t="s">
        <v>73</v>
      </c>
      <c r="D111" s="4" t="s">
        <v>431</v>
      </c>
      <c r="E111" s="4" t="s">
        <v>431</v>
      </c>
      <c r="F111" s="4" t="s">
        <v>432</v>
      </c>
      <c r="G111" s="4" t="s">
        <v>433</v>
      </c>
      <c r="H111" s="4"/>
      <c r="I111" s="4" t="s">
        <v>16</v>
      </c>
      <c r="J111" s="4"/>
      <c r="K111" s="4"/>
      <c r="L111" s="4"/>
      <c r="M111" s="4" t="s">
        <v>20</v>
      </c>
    </row>
    <row r="113" spans="1:13">
      <c r="A113" s="6" t="s">
        <v>524</v>
      </c>
      <c r="B113" s="6"/>
      <c r="C113" s="6"/>
      <c r="D113" s="6"/>
      <c r="E113" s="6"/>
      <c r="F113" s="6"/>
      <c r="G113" s="6"/>
      <c r="H113" s="6"/>
      <c r="I113" s="6"/>
      <c r="J113" s="6"/>
    </row>
    <row r="114" spans="1:13">
      <c r="A114" s="1" t="s">
        <v>525</v>
      </c>
      <c r="B114" s="1" t="s">
        <v>526</v>
      </c>
      <c r="C114" s="1" t="s">
        <v>459</v>
      </c>
      <c r="D114" s="1" t="s">
        <v>3</v>
      </c>
      <c r="E114" s="1" t="s">
        <v>4</v>
      </c>
      <c r="F114" s="1" t="s">
        <v>511</v>
      </c>
      <c r="G114" s="1" t="s">
        <v>527</v>
      </c>
      <c r="H114" s="1" t="s">
        <v>528</v>
      </c>
      <c r="I114" s="1" t="s">
        <v>529</v>
      </c>
      <c r="J114" s="1" t="s">
        <v>530</v>
      </c>
      <c r="K114" s="1" t="s">
        <v>440</v>
      </c>
    </row>
    <row r="115" spans="1:13">
      <c r="A115" t="s">
        <v>566</v>
      </c>
      <c r="B115" t="s">
        <v>567</v>
      </c>
      <c r="C115" t="s">
        <v>568</v>
      </c>
      <c r="D115" t="s">
        <v>67</v>
      </c>
      <c r="E115" t="s">
        <v>29</v>
      </c>
      <c r="F115" t="s">
        <v>144</v>
      </c>
      <c r="G115" t="s">
        <v>569</v>
      </c>
      <c r="H115" t="s">
        <v>570</v>
      </c>
      <c r="I115" t="s">
        <v>45</v>
      </c>
      <c r="J115" t="s">
        <v>136</v>
      </c>
      <c r="K115" t="s">
        <v>20</v>
      </c>
    </row>
    <row r="116" spans="1:13">
      <c r="A116" t="s">
        <v>571</v>
      </c>
      <c r="B116" t="s">
        <v>572</v>
      </c>
      <c r="C116" t="s">
        <v>568</v>
      </c>
      <c r="D116" t="s">
        <v>67</v>
      </c>
      <c r="E116" t="s">
        <v>29</v>
      </c>
      <c r="F116" t="s">
        <v>144</v>
      </c>
      <c r="G116" t="s">
        <v>573</v>
      </c>
      <c r="H116" t="s">
        <v>574</v>
      </c>
      <c r="I116" t="s">
        <v>45</v>
      </c>
      <c r="J116" t="s">
        <v>136</v>
      </c>
      <c r="K116" t="s">
        <v>20</v>
      </c>
    </row>
    <row r="118" spans="1:13">
      <c r="A118" s="6" t="s">
        <v>546</v>
      </c>
      <c r="B118" s="6"/>
      <c r="C118" s="6"/>
      <c r="D118" s="6"/>
      <c r="E118" s="6"/>
      <c r="F118" s="6"/>
      <c r="G118" s="6"/>
      <c r="H118" s="6"/>
      <c r="I118" s="6"/>
      <c r="J118" s="6"/>
    </row>
    <row r="119" spans="1:13">
      <c r="A119" s="1" t="s">
        <v>547</v>
      </c>
      <c r="B119" s="1" t="s">
        <v>472</v>
      </c>
      <c r="C119" s="1" t="s">
        <v>548</v>
      </c>
      <c r="D119" s="1" t="s">
        <v>474</v>
      </c>
      <c r="E119" s="1" t="s">
        <v>523</v>
      </c>
      <c r="F119" s="1" t="s">
        <v>511</v>
      </c>
      <c r="G119" s="1" t="s">
        <v>3</v>
      </c>
      <c r="H119" s="1" t="s">
        <v>549</v>
      </c>
      <c r="I119" s="1" t="s">
        <v>550</v>
      </c>
      <c r="J119" s="1" t="s">
        <v>551</v>
      </c>
      <c r="K119" s="1" t="s">
        <v>9</v>
      </c>
      <c r="L119" s="1" t="s">
        <v>552</v>
      </c>
      <c r="M119" s="1" t="s">
        <v>440</v>
      </c>
    </row>
    <row r="120" spans="1:13">
      <c r="A120" t="s">
        <v>575</v>
      </c>
      <c r="B120" t="s">
        <v>136</v>
      </c>
      <c r="C120" t="s">
        <v>576</v>
      </c>
      <c r="D120" t="s">
        <v>577</v>
      </c>
      <c r="E120" t="s">
        <v>568</v>
      </c>
      <c r="F120" t="s">
        <v>144</v>
      </c>
      <c r="G120" t="s">
        <v>67</v>
      </c>
      <c r="H120" t="s">
        <v>578</v>
      </c>
      <c r="I120" t="s">
        <v>566</v>
      </c>
      <c r="J120" t="s">
        <v>567</v>
      </c>
      <c r="K120" t="s">
        <v>45</v>
      </c>
      <c r="M120" t="s">
        <v>20</v>
      </c>
    </row>
    <row r="122" spans="1:13">
      <c r="A122" s="6" t="s">
        <v>560</v>
      </c>
      <c r="B122" s="6"/>
      <c r="C122" s="6"/>
      <c r="D122" s="6"/>
      <c r="E122" s="6"/>
      <c r="F122" s="6"/>
      <c r="G122" s="6"/>
      <c r="H122" s="6"/>
      <c r="I122" s="6"/>
      <c r="J122" s="6"/>
    </row>
    <row r="123" spans="1:13">
      <c r="A123" s="1" t="s">
        <v>561</v>
      </c>
      <c r="B123" s="1" t="s">
        <v>13</v>
      </c>
      <c r="C123" s="1" t="s">
        <v>459</v>
      </c>
      <c r="D123" s="1" t="s">
        <v>511</v>
      </c>
      <c r="E123" s="1" t="s">
        <v>3</v>
      </c>
      <c r="F123" s="1" t="s">
        <v>461</v>
      </c>
      <c r="G123" s="1" t="s">
        <v>440</v>
      </c>
    </row>
    <row r="124" spans="1:13">
      <c r="A124" t="s">
        <v>579</v>
      </c>
      <c r="B124" t="s">
        <v>29</v>
      </c>
      <c r="E124" t="s">
        <v>85</v>
      </c>
      <c r="G124" t="s">
        <v>20</v>
      </c>
    </row>
  </sheetData>
  <mergeCells count="1">
    <mergeCell ref="A1:J1"/>
  </mergeCells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8"/>
  <sheetViews>
    <sheetView workbookViewId="0">
      <selection sqref="A1:J1"/>
    </sheetView>
  </sheetViews>
  <sheetFormatPr defaultRowHeight="14"/>
  <cols>
    <col min="1" max="1" width="14" customWidth="1"/>
    <col min="2" max="2" width="16" customWidth="1"/>
    <col min="3" max="3" width="28" customWidth="1"/>
    <col min="4" max="4" width="18" customWidth="1"/>
    <col min="5" max="5" width="48" customWidth="1"/>
    <col min="6" max="6" width="28" customWidth="1"/>
    <col min="7" max="8" width="24" customWidth="1"/>
    <col min="9" max="10" width="18" customWidth="1"/>
    <col min="11" max="11" width="16" customWidth="1"/>
    <col min="12" max="12" width="30" customWidth="1"/>
    <col min="13" max="13" width="12" customWidth="1"/>
  </cols>
  <sheetData>
    <row r="1" spans="1:13" ht="18">
      <c r="A1" s="22" t="s">
        <v>580</v>
      </c>
      <c r="B1" s="22"/>
      <c r="C1" s="22"/>
      <c r="D1" s="22"/>
      <c r="E1" s="22"/>
      <c r="F1" s="22"/>
      <c r="G1" s="22"/>
      <c r="H1" s="22"/>
      <c r="I1" s="22"/>
      <c r="J1" s="22"/>
      <c r="K1" s="4"/>
      <c r="L1" s="4"/>
      <c r="M1" s="4"/>
    </row>
    <row r="3" spans="1:13">
      <c r="A3" s="6" t="s">
        <v>492</v>
      </c>
      <c r="B3" s="6"/>
      <c r="C3" s="6"/>
      <c r="D3" s="6"/>
      <c r="E3" s="6"/>
      <c r="F3" s="6"/>
      <c r="G3" s="6"/>
      <c r="H3" s="6"/>
      <c r="I3" s="6"/>
      <c r="J3" s="6"/>
    </row>
    <row r="4" spans="1:13">
      <c r="A4" s="1" t="s">
        <v>493</v>
      </c>
      <c r="B4" s="1" t="s">
        <v>494</v>
      </c>
      <c r="C4" s="1" t="s">
        <v>440</v>
      </c>
      <c r="D4" s="1" t="s">
        <v>461</v>
      </c>
    </row>
    <row r="5" spans="1:13">
      <c r="A5" t="s">
        <v>120</v>
      </c>
      <c r="B5" t="s">
        <v>146</v>
      </c>
      <c r="C5" t="s">
        <v>20</v>
      </c>
    </row>
    <row r="6" spans="1:13">
      <c r="A6" t="s">
        <v>121</v>
      </c>
      <c r="B6" t="s">
        <v>147</v>
      </c>
      <c r="C6" t="s">
        <v>20</v>
      </c>
    </row>
    <row r="7" spans="1:13">
      <c r="A7" t="s">
        <v>122</v>
      </c>
      <c r="B7" t="s">
        <v>148</v>
      </c>
      <c r="C7" t="s">
        <v>20</v>
      </c>
    </row>
    <row r="8" spans="1:13">
      <c r="A8" t="s">
        <v>5</v>
      </c>
      <c r="B8" t="s">
        <v>30</v>
      </c>
      <c r="C8" t="s">
        <v>20</v>
      </c>
    </row>
    <row r="9" spans="1:13">
      <c r="A9" t="s">
        <v>3</v>
      </c>
      <c r="B9" t="s">
        <v>50</v>
      </c>
      <c r="C9" t="s">
        <v>20</v>
      </c>
    </row>
    <row r="10" spans="1:13">
      <c r="A10" t="s">
        <v>4</v>
      </c>
      <c r="B10" t="s">
        <v>17</v>
      </c>
      <c r="C10" t="s">
        <v>20</v>
      </c>
    </row>
    <row r="11" spans="1:13">
      <c r="A11" t="s">
        <v>6</v>
      </c>
      <c r="B11" t="s">
        <v>19</v>
      </c>
      <c r="C11" t="s">
        <v>20</v>
      </c>
    </row>
    <row r="12" spans="1:13">
      <c r="A12" t="s">
        <v>123</v>
      </c>
      <c r="B12" t="s">
        <v>149</v>
      </c>
      <c r="C12" t="s">
        <v>20</v>
      </c>
    </row>
    <row r="13" spans="1:13">
      <c r="A13" t="s">
        <v>124</v>
      </c>
      <c r="B13" t="s">
        <v>150</v>
      </c>
      <c r="C13" t="s">
        <v>20</v>
      </c>
    </row>
    <row r="14" spans="1:13">
      <c r="A14" t="s">
        <v>495</v>
      </c>
      <c r="B14" t="s">
        <v>581</v>
      </c>
      <c r="C14" t="s">
        <v>20</v>
      </c>
    </row>
    <row r="15" spans="1:13">
      <c r="A15" t="s">
        <v>125</v>
      </c>
      <c r="B15" t="s">
        <v>151</v>
      </c>
      <c r="C15" t="s">
        <v>20</v>
      </c>
    </row>
    <row r="16" spans="1:13">
      <c r="A16" t="s">
        <v>126</v>
      </c>
      <c r="B16" t="s">
        <v>152</v>
      </c>
      <c r="C16" t="s">
        <v>20</v>
      </c>
    </row>
    <row r="17" spans="1:10">
      <c r="A17" t="s">
        <v>497</v>
      </c>
      <c r="B17" t="s">
        <v>582</v>
      </c>
      <c r="C17" t="s">
        <v>20</v>
      </c>
    </row>
    <row r="18" spans="1:10">
      <c r="A18" t="s">
        <v>127</v>
      </c>
      <c r="B18" t="s">
        <v>50</v>
      </c>
      <c r="C18" t="s">
        <v>20</v>
      </c>
    </row>
    <row r="19" spans="1:10">
      <c r="A19" t="s">
        <v>128</v>
      </c>
      <c r="B19" t="s">
        <v>20</v>
      </c>
      <c r="C19" t="s">
        <v>20</v>
      </c>
      <c r="D19" t="s">
        <v>499</v>
      </c>
    </row>
    <row r="20" spans="1:10">
      <c r="A20" t="s">
        <v>500</v>
      </c>
      <c r="B20" t="s">
        <v>501</v>
      </c>
      <c r="C20" t="s">
        <v>20</v>
      </c>
    </row>
    <row r="22" spans="1:10">
      <c r="A22" s="6" t="s">
        <v>502</v>
      </c>
      <c r="B22" s="6"/>
      <c r="C22" s="6"/>
      <c r="D22" s="6"/>
      <c r="E22" s="6"/>
      <c r="F22" s="6"/>
      <c r="G22" s="6"/>
      <c r="H22" s="6"/>
      <c r="I22" s="6"/>
      <c r="J22" s="6"/>
    </row>
    <row r="23" spans="1:10">
      <c r="A23" s="1" t="s">
        <v>503</v>
      </c>
      <c r="B23" s="1" t="s">
        <v>3</v>
      </c>
      <c r="C23" s="1" t="s">
        <v>459</v>
      </c>
      <c r="D23" s="1" t="s">
        <v>126</v>
      </c>
      <c r="E23" s="1" t="s">
        <v>461</v>
      </c>
      <c r="F23" s="1" t="s">
        <v>440</v>
      </c>
    </row>
    <row r="24" spans="1:10">
      <c r="A24" t="s">
        <v>504</v>
      </c>
      <c r="B24" t="s">
        <v>26</v>
      </c>
      <c r="F24" t="s">
        <v>20</v>
      </c>
    </row>
    <row r="25" spans="1:10">
      <c r="A25" t="s">
        <v>505</v>
      </c>
      <c r="B25" t="s">
        <v>28</v>
      </c>
      <c r="F25" t="s">
        <v>20</v>
      </c>
    </row>
    <row r="26" spans="1:10">
      <c r="A26" t="s">
        <v>506</v>
      </c>
      <c r="F26" t="s">
        <v>20</v>
      </c>
    </row>
    <row r="27" spans="1:10">
      <c r="A27" t="s">
        <v>507</v>
      </c>
      <c r="F27" t="s">
        <v>20</v>
      </c>
    </row>
    <row r="28" spans="1:10">
      <c r="A28" t="s">
        <v>508</v>
      </c>
      <c r="F28" t="s">
        <v>20</v>
      </c>
    </row>
    <row r="29" spans="1:10">
      <c r="A29" t="s">
        <v>509</v>
      </c>
      <c r="F29" t="s">
        <v>20</v>
      </c>
    </row>
    <row r="31" spans="1:10">
      <c r="A31" s="6" t="s">
        <v>510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s="1" t="s">
        <v>10</v>
      </c>
      <c r="B32" s="1" t="s">
        <v>80</v>
      </c>
      <c r="C32" s="1" t="s">
        <v>3</v>
      </c>
      <c r="D32" s="1" t="s">
        <v>459</v>
      </c>
      <c r="E32" s="1" t="s">
        <v>511</v>
      </c>
      <c r="F32" s="1" t="s">
        <v>461</v>
      </c>
      <c r="G32" s="1" t="s">
        <v>440</v>
      </c>
    </row>
    <row r="33" spans="1:13">
      <c r="A33" t="s">
        <v>23</v>
      </c>
      <c r="B33" t="s">
        <v>20</v>
      </c>
      <c r="C33" t="s">
        <v>80</v>
      </c>
      <c r="G33" t="s">
        <v>20</v>
      </c>
    </row>
    <row r="34" spans="1:13">
      <c r="A34" t="s">
        <v>35</v>
      </c>
      <c r="B34" t="s">
        <v>32</v>
      </c>
      <c r="C34" t="s">
        <v>16</v>
      </c>
      <c r="G34" t="s">
        <v>20</v>
      </c>
    </row>
    <row r="35" spans="1:13">
      <c r="A35" t="s">
        <v>46</v>
      </c>
      <c r="B35" t="s">
        <v>20</v>
      </c>
      <c r="C35" t="s">
        <v>80</v>
      </c>
      <c r="G35" t="s">
        <v>20</v>
      </c>
    </row>
    <row r="36" spans="1:13">
      <c r="A36" t="s">
        <v>56</v>
      </c>
      <c r="B36" t="s">
        <v>20</v>
      </c>
      <c r="C36" t="s">
        <v>80</v>
      </c>
      <c r="G36" t="s">
        <v>20</v>
      </c>
    </row>
    <row r="37" spans="1:13">
      <c r="A37" t="s">
        <v>36</v>
      </c>
      <c r="B37" t="s">
        <v>20</v>
      </c>
      <c r="C37" t="s">
        <v>80</v>
      </c>
      <c r="G37" t="s">
        <v>20</v>
      </c>
    </row>
    <row r="38" spans="1:13">
      <c r="A38" t="s">
        <v>71</v>
      </c>
      <c r="B38" t="s">
        <v>32</v>
      </c>
      <c r="C38" t="s">
        <v>16</v>
      </c>
      <c r="G38" t="s">
        <v>20</v>
      </c>
    </row>
    <row r="40" spans="1:13">
      <c r="A40" s="6" t="s">
        <v>512</v>
      </c>
      <c r="B40" s="6"/>
      <c r="C40" s="6"/>
      <c r="D40" s="6"/>
      <c r="E40" s="6"/>
      <c r="F40" s="6"/>
      <c r="G40" s="6"/>
      <c r="H40" s="6"/>
      <c r="I40" s="6"/>
      <c r="J40" s="6"/>
    </row>
    <row r="41" spans="1:13">
      <c r="A41" s="1" t="s">
        <v>513</v>
      </c>
      <c r="B41" s="1" t="s">
        <v>514</v>
      </c>
      <c r="C41" s="1" t="s">
        <v>515</v>
      </c>
      <c r="D41" s="1" t="s">
        <v>3</v>
      </c>
      <c r="E41" s="1" t="s">
        <v>459</v>
      </c>
      <c r="F41" s="1" t="s">
        <v>126</v>
      </c>
      <c r="G41" s="1" t="s">
        <v>461</v>
      </c>
      <c r="H41" s="1" t="s">
        <v>440</v>
      </c>
    </row>
    <row r="42" spans="1:13">
      <c r="A42" t="s">
        <v>516</v>
      </c>
      <c r="B42">
        <v>0</v>
      </c>
      <c r="C42">
        <v>0</v>
      </c>
      <c r="D42" t="s">
        <v>16</v>
      </c>
      <c r="H42" t="s">
        <v>20</v>
      </c>
    </row>
    <row r="43" spans="1:13">
      <c r="A43" t="s">
        <v>517</v>
      </c>
      <c r="B43">
        <v>0</v>
      </c>
      <c r="C43">
        <v>0</v>
      </c>
      <c r="D43" t="s">
        <v>16</v>
      </c>
      <c r="H43" t="s">
        <v>20</v>
      </c>
    </row>
    <row r="44" spans="1:13">
      <c r="A44" t="s">
        <v>518</v>
      </c>
      <c r="B44">
        <v>0</v>
      </c>
      <c r="C44">
        <v>0</v>
      </c>
      <c r="D44" t="s">
        <v>16</v>
      </c>
      <c r="H44" t="s">
        <v>20</v>
      </c>
    </row>
    <row r="45" spans="1:13">
      <c r="A45" t="s">
        <v>519</v>
      </c>
      <c r="B45">
        <v>0</v>
      </c>
      <c r="C45">
        <v>0</v>
      </c>
      <c r="D45" t="s">
        <v>16</v>
      </c>
      <c r="H45" t="s">
        <v>20</v>
      </c>
    </row>
    <row r="47" spans="1:13">
      <c r="A47" s="6" t="s">
        <v>520</v>
      </c>
      <c r="B47" s="6"/>
      <c r="C47" s="6"/>
      <c r="D47" s="6"/>
      <c r="E47" s="6"/>
      <c r="F47" s="6"/>
      <c r="G47" s="6"/>
      <c r="H47" s="6"/>
      <c r="I47" s="6"/>
      <c r="J47" s="6"/>
    </row>
    <row r="48" spans="1:13">
      <c r="A48" s="7" t="s">
        <v>521</v>
      </c>
      <c r="B48" s="7" t="s">
        <v>190</v>
      </c>
      <c r="C48" s="7" t="s">
        <v>192</v>
      </c>
      <c r="D48" s="7" t="s">
        <v>121</v>
      </c>
      <c r="E48" s="7" t="s">
        <v>522</v>
      </c>
      <c r="F48" s="7" t="s">
        <v>523</v>
      </c>
      <c r="G48" s="7" t="s">
        <v>195</v>
      </c>
      <c r="H48" s="7" t="s">
        <v>196</v>
      </c>
      <c r="I48" s="7" t="s">
        <v>3</v>
      </c>
      <c r="J48" s="7" t="s">
        <v>459</v>
      </c>
      <c r="K48" s="11" t="s">
        <v>511</v>
      </c>
      <c r="L48" s="11" t="s">
        <v>461</v>
      </c>
      <c r="M48" s="11" t="s">
        <v>440</v>
      </c>
    </row>
    <row r="49" spans="1:13">
      <c r="A49" s="4">
        <v>1</v>
      </c>
      <c r="B49" s="4" t="s">
        <v>200</v>
      </c>
      <c r="C49" s="4" t="s">
        <v>25</v>
      </c>
      <c r="D49" s="4" t="s">
        <v>201</v>
      </c>
      <c r="E49" s="4" t="s">
        <v>202</v>
      </c>
      <c r="F49" s="4" t="s">
        <v>178</v>
      </c>
      <c r="G49" s="4"/>
      <c r="H49" s="4" t="s">
        <v>203</v>
      </c>
      <c r="I49" s="4" t="s">
        <v>26</v>
      </c>
      <c r="J49" s="4"/>
      <c r="K49" s="4"/>
      <c r="L49" s="4"/>
      <c r="M49" s="4" t="s">
        <v>20</v>
      </c>
    </row>
    <row r="50" spans="1:13">
      <c r="A50" s="4">
        <v>2</v>
      </c>
      <c r="B50" s="4" t="s">
        <v>203</v>
      </c>
      <c r="C50" s="4" t="s">
        <v>25</v>
      </c>
      <c r="D50" s="4" t="s">
        <v>204</v>
      </c>
      <c r="E50" s="4" t="s">
        <v>205</v>
      </c>
      <c r="F50" s="4" t="s">
        <v>206</v>
      </c>
      <c r="G50" s="4" t="s">
        <v>200</v>
      </c>
      <c r="H50" s="4" t="s">
        <v>207</v>
      </c>
      <c r="I50" s="4" t="s">
        <v>26</v>
      </c>
      <c r="J50" s="4"/>
      <c r="K50" s="4"/>
      <c r="L50" s="4"/>
      <c r="M50" s="4" t="s">
        <v>20</v>
      </c>
    </row>
    <row r="51" spans="1:13">
      <c r="A51" s="4">
        <v>3</v>
      </c>
      <c r="B51" s="4" t="s">
        <v>207</v>
      </c>
      <c r="C51" s="4" t="s">
        <v>25</v>
      </c>
      <c r="D51" s="4" t="s">
        <v>208</v>
      </c>
      <c r="E51" s="4" t="s">
        <v>209</v>
      </c>
      <c r="F51" s="4" t="s">
        <v>206</v>
      </c>
      <c r="G51" s="4" t="s">
        <v>203</v>
      </c>
      <c r="H51" s="4" t="s">
        <v>210</v>
      </c>
      <c r="I51" s="4" t="s">
        <v>26</v>
      </c>
      <c r="J51" s="4"/>
      <c r="K51" s="4"/>
      <c r="L51" s="4"/>
      <c r="M51" s="4" t="s">
        <v>20</v>
      </c>
    </row>
    <row r="52" spans="1:13">
      <c r="A52" s="4">
        <v>4</v>
      </c>
      <c r="B52" s="4" t="s">
        <v>210</v>
      </c>
      <c r="C52" s="4" t="s">
        <v>25</v>
      </c>
      <c r="D52" s="4" t="s">
        <v>211</v>
      </c>
      <c r="E52" s="4" t="s">
        <v>212</v>
      </c>
      <c r="F52" s="4" t="s">
        <v>178</v>
      </c>
      <c r="G52" s="4" t="s">
        <v>207</v>
      </c>
      <c r="H52" s="4" t="s">
        <v>213</v>
      </c>
      <c r="I52" s="4" t="s">
        <v>26</v>
      </c>
      <c r="J52" s="4"/>
      <c r="K52" s="4"/>
      <c r="L52" s="4"/>
      <c r="M52" s="4" t="s">
        <v>20</v>
      </c>
    </row>
    <row r="53" spans="1:13" ht="28">
      <c r="A53" s="4">
        <v>5</v>
      </c>
      <c r="B53" s="4" t="s">
        <v>214</v>
      </c>
      <c r="C53" s="4" t="s">
        <v>25</v>
      </c>
      <c r="D53" s="4" t="s">
        <v>215</v>
      </c>
      <c r="E53" s="4" t="s">
        <v>216</v>
      </c>
      <c r="F53" s="4" t="s">
        <v>217</v>
      </c>
      <c r="G53" s="4" t="s">
        <v>210</v>
      </c>
      <c r="H53" s="4" t="s">
        <v>218</v>
      </c>
      <c r="I53" s="4" t="s">
        <v>26</v>
      </c>
      <c r="J53" s="4"/>
      <c r="K53" s="4"/>
      <c r="L53" s="4"/>
      <c r="M53" s="4" t="s">
        <v>20</v>
      </c>
    </row>
    <row r="54" spans="1:13">
      <c r="A54" s="4">
        <v>6</v>
      </c>
      <c r="B54" s="4" t="s">
        <v>219</v>
      </c>
      <c r="C54" s="4" t="s">
        <v>25</v>
      </c>
      <c r="D54" s="4" t="s">
        <v>220</v>
      </c>
      <c r="E54" s="4" t="s">
        <v>221</v>
      </c>
      <c r="F54" s="4" t="s">
        <v>217</v>
      </c>
      <c r="G54" s="4" t="s">
        <v>207</v>
      </c>
      <c r="H54" s="4" t="s">
        <v>222</v>
      </c>
      <c r="I54" s="4" t="s">
        <v>26</v>
      </c>
      <c r="J54" s="4"/>
      <c r="K54" s="4"/>
      <c r="L54" s="4"/>
      <c r="M54" s="4" t="s">
        <v>20</v>
      </c>
    </row>
    <row r="55" spans="1:13" ht="28">
      <c r="A55" s="4">
        <v>7</v>
      </c>
      <c r="B55" s="4" t="s">
        <v>223</v>
      </c>
      <c r="C55" s="4" t="s">
        <v>25</v>
      </c>
      <c r="D55" s="4" t="s">
        <v>224</v>
      </c>
      <c r="E55" s="4" t="s">
        <v>225</v>
      </c>
      <c r="F55" s="4" t="s">
        <v>226</v>
      </c>
      <c r="G55" s="4" t="s">
        <v>210</v>
      </c>
      <c r="H55" s="4" t="s">
        <v>227</v>
      </c>
      <c r="I55" s="4" t="s">
        <v>26</v>
      </c>
      <c r="J55" s="4"/>
      <c r="K55" s="4"/>
      <c r="L55" s="4"/>
      <c r="M55" s="4" t="s">
        <v>20</v>
      </c>
    </row>
    <row r="56" spans="1:13">
      <c r="A56" s="4">
        <v>8</v>
      </c>
      <c r="B56" s="4" t="s">
        <v>228</v>
      </c>
      <c r="C56" s="4" t="s">
        <v>25</v>
      </c>
      <c r="D56" s="4" t="s">
        <v>229</v>
      </c>
      <c r="E56" s="4" t="s">
        <v>230</v>
      </c>
      <c r="F56" s="4" t="s">
        <v>231</v>
      </c>
      <c r="G56" s="4" t="s">
        <v>214</v>
      </c>
      <c r="H56" s="4" t="s">
        <v>232</v>
      </c>
      <c r="I56" s="4" t="s">
        <v>26</v>
      </c>
      <c r="J56" s="4"/>
      <c r="K56" s="4"/>
      <c r="L56" s="4"/>
      <c r="M56" s="4" t="s">
        <v>20</v>
      </c>
    </row>
    <row r="57" spans="1:13">
      <c r="A57" s="4">
        <v>9</v>
      </c>
      <c r="B57" s="4" t="s">
        <v>233</v>
      </c>
      <c r="C57" s="4" t="s">
        <v>25</v>
      </c>
      <c r="D57" s="4" t="s">
        <v>234</v>
      </c>
      <c r="E57" s="4" t="s">
        <v>235</v>
      </c>
      <c r="F57" s="4" t="s">
        <v>206</v>
      </c>
      <c r="G57" s="4" t="s">
        <v>214</v>
      </c>
      <c r="H57" s="4" t="s">
        <v>232</v>
      </c>
      <c r="I57" s="4" t="s">
        <v>26</v>
      </c>
      <c r="J57" s="4"/>
      <c r="K57" s="4"/>
      <c r="L57" s="4"/>
      <c r="M57" s="4" t="s">
        <v>20</v>
      </c>
    </row>
    <row r="58" spans="1:13" ht="28">
      <c r="A58" s="4">
        <v>10</v>
      </c>
      <c r="B58" s="4" t="s">
        <v>236</v>
      </c>
      <c r="C58" s="4" t="s">
        <v>37</v>
      </c>
      <c r="D58" s="4" t="s">
        <v>237</v>
      </c>
      <c r="E58" s="4" t="s">
        <v>238</v>
      </c>
      <c r="F58" s="4" t="s">
        <v>239</v>
      </c>
      <c r="G58" s="4" t="s">
        <v>219</v>
      </c>
      <c r="H58" s="4" t="s">
        <v>240</v>
      </c>
      <c r="I58" s="4" t="s">
        <v>26</v>
      </c>
      <c r="J58" s="4"/>
      <c r="K58" s="4"/>
      <c r="L58" s="4"/>
      <c r="M58" s="4" t="s">
        <v>20</v>
      </c>
    </row>
    <row r="59" spans="1:13" ht="28">
      <c r="A59" s="4">
        <v>11</v>
      </c>
      <c r="B59" s="4" t="s">
        <v>241</v>
      </c>
      <c r="C59" s="4" t="s">
        <v>37</v>
      </c>
      <c r="D59" s="4" t="s">
        <v>242</v>
      </c>
      <c r="E59" s="4" t="s">
        <v>243</v>
      </c>
      <c r="F59" s="4" t="s">
        <v>239</v>
      </c>
      <c r="G59" s="4" t="s">
        <v>219</v>
      </c>
      <c r="H59" s="4" t="s">
        <v>244</v>
      </c>
      <c r="I59" s="4" t="s">
        <v>26</v>
      </c>
      <c r="J59" s="4"/>
      <c r="K59" s="4"/>
      <c r="L59" s="4"/>
      <c r="M59" s="4" t="s">
        <v>20</v>
      </c>
    </row>
    <row r="60" spans="1:13" ht="28">
      <c r="A60" s="4">
        <v>12</v>
      </c>
      <c r="B60" s="4" t="s">
        <v>245</v>
      </c>
      <c r="C60" s="4" t="s">
        <v>37</v>
      </c>
      <c r="D60" s="4" t="s">
        <v>246</v>
      </c>
      <c r="E60" s="4" t="s">
        <v>247</v>
      </c>
      <c r="F60" s="4" t="s">
        <v>248</v>
      </c>
      <c r="G60" s="4" t="s">
        <v>241</v>
      </c>
      <c r="H60" s="4" t="s">
        <v>249</v>
      </c>
      <c r="I60" s="4" t="s">
        <v>26</v>
      </c>
      <c r="J60" s="4"/>
      <c r="K60" s="4"/>
      <c r="L60" s="4"/>
      <c r="M60" s="4" t="s">
        <v>20</v>
      </c>
    </row>
    <row r="61" spans="1:13" ht="28">
      <c r="A61" s="4">
        <v>13</v>
      </c>
      <c r="B61" s="4" t="s">
        <v>250</v>
      </c>
      <c r="C61" s="4" t="s">
        <v>37</v>
      </c>
      <c r="D61" s="4" t="s">
        <v>251</v>
      </c>
      <c r="E61" s="4" t="s">
        <v>252</v>
      </c>
      <c r="F61" s="4" t="s">
        <v>248</v>
      </c>
      <c r="G61" s="4" t="s">
        <v>245</v>
      </c>
      <c r="H61" s="4" t="s">
        <v>253</v>
      </c>
      <c r="I61" s="4" t="s">
        <v>26</v>
      </c>
      <c r="J61" s="4"/>
      <c r="K61" s="4"/>
      <c r="L61" s="4"/>
      <c r="M61" s="4" t="s">
        <v>20</v>
      </c>
    </row>
    <row r="62" spans="1:13" ht="28">
      <c r="A62" s="4">
        <v>14</v>
      </c>
      <c r="B62" s="4" t="s">
        <v>254</v>
      </c>
      <c r="C62" s="4" t="s">
        <v>37</v>
      </c>
      <c r="D62" s="4" t="s">
        <v>255</v>
      </c>
      <c r="E62" s="4" t="s">
        <v>256</v>
      </c>
      <c r="F62" s="4" t="s">
        <v>257</v>
      </c>
      <c r="G62" s="4" t="s">
        <v>250</v>
      </c>
      <c r="H62" s="4" t="s">
        <v>258</v>
      </c>
      <c r="I62" s="4" t="s">
        <v>26</v>
      </c>
      <c r="J62" s="4"/>
      <c r="K62" s="4"/>
      <c r="L62" s="4"/>
      <c r="M62" s="4" t="s">
        <v>20</v>
      </c>
    </row>
    <row r="63" spans="1:13" ht="28">
      <c r="A63" s="4">
        <v>15</v>
      </c>
      <c r="B63" s="4" t="s">
        <v>240</v>
      </c>
      <c r="C63" s="4" t="s">
        <v>48</v>
      </c>
      <c r="D63" s="4" t="s">
        <v>259</v>
      </c>
      <c r="E63" s="4" t="s">
        <v>260</v>
      </c>
      <c r="F63" s="4" t="s">
        <v>226</v>
      </c>
      <c r="G63" s="4" t="s">
        <v>261</v>
      </c>
      <c r="H63" s="4" t="s">
        <v>262</v>
      </c>
      <c r="I63" s="4" t="s">
        <v>50</v>
      </c>
      <c r="J63" s="4"/>
      <c r="K63" s="4"/>
      <c r="L63" s="4"/>
      <c r="M63" s="4" t="s">
        <v>20</v>
      </c>
    </row>
    <row r="64" spans="1:13" ht="28">
      <c r="A64" s="4">
        <v>16</v>
      </c>
      <c r="B64" s="4" t="s">
        <v>262</v>
      </c>
      <c r="C64" s="4" t="s">
        <v>48</v>
      </c>
      <c r="D64" s="4" t="s">
        <v>263</v>
      </c>
      <c r="E64" s="4" t="s">
        <v>264</v>
      </c>
      <c r="F64" s="4" t="s">
        <v>239</v>
      </c>
      <c r="G64" s="4" t="s">
        <v>240</v>
      </c>
      <c r="H64" s="4" t="s">
        <v>265</v>
      </c>
      <c r="I64" s="4" t="s">
        <v>50</v>
      </c>
      <c r="J64" s="4"/>
      <c r="K64" s="4"/>
      <c r="L64" s="4"/>
      <c r="M64" s="4" t="s">
        <v>20</v>
      </c>
    </row>
    <row r="65" spans="1:13">
      <c r="A65" s="4">
        <v>17</v>
      </c>
      <c r="B65" s="4" t="s">
        <v>266</v>
      </c>
      <c r="C65" s="4" t="s">
        <v>48</v>
      </c>
      <c r="D65" s="4" t="s">
        <v>267</v>
      </c>
      <c r="E65" s="4" t="s">
        <v>268</v>
      </c>
      <c r="F65" s="4" t="s">
        <v>239</v>
      </c>
      <c r="G65" s="4" t="s">
        <v>269</v>
      </c>
      <c r="H65" s="4" t="s">
        <v>270</v>
      </c>
      <c r="I65" s="4" t="s">
        <v>16</v>
      </c>
      <c r="J65" s="4"/>
      <c r="K65" s="4"/>
      <c r="L65" s="4"/>
      <c r="M65" s="4" t="s">
        <v>20</v>
      </c>
    </row>
    <row r="66" spans="1:13">
      <c r="A66" s="4">
        <v>18</v>
      </c>
      <c r="B66" s="4" t="s">
        <v>271</v>
      </c>
      <c r="C66" s="4" t="s">
        <v>48</v>
      </c>
      <c r="D66" s="4" t="s">
        <v>272</v>
      </c>
      <c r="E66" s="4" t="s">
        <v>273</v>
      </c>
      <c r="F66" s="4" t="s">
        <v>274</v>
      </c>
      <c r="G66" s="4" t="s">
        <v>275</v>
      </c>
      <c r="H66" s="4" t="s">
        <v>276</v>
      </c>
      <c r="I66" s="4" t="s">
        <v>16</v>
      </c>
      <c r="J66" s="4"/>
      <c r="K66" s="4"/>
      <c r="L66" s="4"/>
      <c r="M66" s="4" t="s">
        <v>20</v>
      </c>
    </row>
    <row r="67" spans="1:13">
      <c r="A67" s="4">
        <v>19</v>
      </c>
      <c r="B67" s="4" t="s">
        <v>277</v>
      </c>
      <c r="C67" s="4" t="s">
        <v>48</v>
      </c>
      <c r="D67" s="4" t="s">
        <v>278</v>
      </c>
      <c r="E67" s="4" t="s">
        <v>279</v>
      </c>
      <c r="F67" s="4" t="s">
        <v>274</v>
      </c>
      <c r="G67" s="4" t="s">
        <v>271</v>
      </c>
      <c r="H67" s="4" t="s">
        <v>280</v>
      </c>
      <c r="I67" s="4" t="s">
        <v>16</v>
      </c>
      <c r="J67" s="4"/>
      <c r="K67" s="4"/>
      <c r="L67" s="4"/>
      <c r="M67" s="4" t="s">
        <v>20</v>
      </c>
    </row>
    <row r="68" spans="1:13">
      <c r="A68" s="4">
        <v>20</v>
      </c>
      <c r="B68" s="4" t="s">
        <v>280</v>
      </c>
      <c r="C68" s="4" t="s">
        <v>48</v>
      </c>
      <c r="D68" s="4" t="s">
        <v>281</v>
      </c>
      <c r="E68" s="4" t="s">
        <v>282</v>
      </c>
      <c r="F68" s="4" t="s">
        <v>283</v>
      </c>
      <c r="G68" s="4" t="s">
        <v>277</v>
      </c>
      <c r="H68" s="4" t="s">
        <v>284</v>
      </c>
      <c r="I68" s="4" t="s">
        <v>16</v>
      </c>
      <c r="J68" s="4"/>
      <c r="K68" s="4"/>
      <c r="L68" s="4"/>
      <c r="M68" s="4" t="s">
        <v>20</v>
      </c>
    </row>
    <row r="69" spans="1:13">
      <c r="A69" s="4">
        <v>21</v>
      </c>
      <c r="B69" s="4" t="s">
        <v>285</v>
      </c>
      <c r="C69" s="4" t="s">
        <v>48</v>
      </c>
      <c r="D69" s="4" t="s">
        <v>286</v>
      </c>
      <c r="E69" s="4" t="s">
        <v>287</v>
      </c>
      <c r="F69" s="4" t="s">
        <v>206</v>
      </c>
      <c r="G69" s="4" t="s">
        <v>265</v>
      </c>
      <c r="H69" s="4" t="s">
        <v>288</v>
      </c>
      <c r="I69" s="4" t="s">
        <v>16</v>
      </c>
      <c r="J69" s="4"/>
      <c r="K69" s="4"/>
      <c r="L69" s="4"/>
      <c r="M69" s="4" t="s">
        <v>20</v>
      </c>
    </row>
    <row r="70" spans="1:13">
      <c r="A70" s="4">
        <v>22</v>
      </c>
      <c r="B70" s="4" t="s">
        <v>288</v>
      </c>
      <c r="C70" s="4" t="s">
        <v>48</v>
      </c>
      <c r="D70" s="4" t="s">
        <v>289</v>
      </c>
      <c r="E70" s="4" t="s">
        <v>290</v>
      </c>
      <c r="F70" s="4" t="s">
        <v>239</v>
      </c>
      <c r="G70" s="4" t="s">
        <v>285</v>
      </c>
      <c r="H70" s="4" t="s">
        <v>291</v>
      </c>
      <c r="I70" s="4" t="s">
        <v>16</v>
      </c>
      <c r="J70" s="4"/>
      <c r="K70" s="4"/>
      <c r="L70" s="4"/>
      <c r="M70" s="4" t="s">
        <v>20</v>
      </c>
    </row>
    <row r="71" spans="1:13" ht="28">
      <c r="A71" s="4">
        <v>23</v>
      </c>
      <c r="B71" s="4" t="s">
        <v>291</v>
      </c>
      <c r="C71" s="4" t="s">
        <v>48</v>
      </c>
      <c r="D71" s="4" t="s">
        <v>292</v>
      </c>
      <c r="E71" s="4" t="s">
        <v>293</v>
      </c>
      <c r="F71" s="4" t="s">
        <v>206</v>
      </c>
      <c r="G71" s="4" t="s">
        <v>288</v>
      </c>
      <c r="H71" s="4" t="s">
        <v>294</v>
      </c>
      <c r="I71" s="4" t="s">
        <v>16</v>
      </c>
      <c r="J71" s="4"/>
      <c r="K71" s="4"/>
      <c r="L71" s="4"/>
      <c r="M71" s="4" t="s">
        <v>20</v>
      </c>
    </row>
    <row r="72" spans="1:13" ht="28">
      <c r="A72" s="4">
        <v>24</v>
      </c>
      <c r="B72" s="4" t="s">
        <v>294</v>
      </c>
      <c r="C72" s="4" t="s">
        <v>48</v>
      </c>
      <c r="D72" s="4" t="s">
        <v>295</v>
      </c>
      <c r="E72" s="4" t="s">
        <v>296</v>
      </c>
      <c r="F72" s="4" t="s">
        <v>297</v>
      </c>
      <c r="G72" s="4" t="s">
        <v>298</v>
      </c>
      <c r="H72" s="4" t="s">
        <v>299</v>
      </c>
      <c r="I72" s="4" t="s">
        <v>16</v>
      </c>
      <c r="J72" s="4"/>
      <c r="K72" s="4"/>
      <c r="L72" s="4"/>
      <c r="M72" s="4" t="s">
        <v>20</v>
      </c>
    </row>
    <row r="73" spans="1:13">
      <c r="A73" s="4">
        <v>25</v>
      </c>
      <c r="B73" s="4" t="s">
        <v>299</v>
      </c>
      <c r="C73" s="4" t="s">
        <v>48</v>
      </c>
      <c r="D73" s="4" t="s">
        <v>300</v>
      </c>
      <c r="E73" s="4" t="s">
        <v>301</v>
      </c>
      <c r="F73" s="4" t="s">
        <v>302</v>
      </c>
      <c r="G73" s="4" t="s">
        <v>294</v>
      </c>
      <c r="H73" s="4" t="s">
        <v>303</v>
      </c>
      <c r="I73" s="4" t="s">
        <v>16</v>
      </c>
      <c r="J73" s="4"/>
      <c r="K73" s="4"/>
      <c r="L73" s="4"/>
      <c r="M73" s="4" t="s">
        <v>20</v>
      </c>
    </row>
    <row r="74" spans="1:13">
      <c r="A74" s="4">
        <v>26</v>
      </c>
      <c r="B74" s="4" t="s">
        <v>304</v>
      </c>
      <c r="C74" s="4" t="s">
        <v>58</v>
      </c>
      <c r="D74" s="4" t="s">
        <v>305</v>
      </c>
      <c r="E74" s="4" t="s">
        <v>306</v>
      </c>
      <c r="F74" s="4" t="s">
        <v>239</v>
      </c>
      <c r="G74" s="4" t="s">
        <v>299</v>
      </c>
      <c r="H74" s="4" t="s">
        <v>307</v>
      </c>
      <c r="I74" s="4" t="s">
        <v>16</v>
      </c>
      <c r="J74" s="4"/>
      <c r="K74" s="4"/>
      <c r="L74" s="4"/>
      <c r="M74" s="4" t="s">
        <v>20</v>
      </c>
    </row>
    <row r="75" spans="1:13">
      <c r="A75" s="4">
        <v>27</v>
      </c>
      <c r="B75" s="4" t="s">
        <v>308</v>
      </c>
      <c r="C75" s="4" t="s">
        <v>58</v>
      </c>
      <c r="D75" s="4" t="s">
        <v>309</v>
      </c>
      <c r="E75" s="4" t="s">
        <v>310</v>
      </c>
      <c r="F75" s="4" t="s">
        <v>311</v>
      </c>
      <c r="G75" s="4" t="s">
        <v>304</v>
      </c>
      <c r="H75" s="4" t="s">
        <v>312</v>
      </c>
      <c r="I75" s="4" t="s">
        <v>16</v>
      </c>
      <c r="J75" s="4"/>
      <c r="K75" s="4"/>
      <c r="L75" s="4"/>
      <c r="M75" s="4" t="s">
        <v>20</v>
      </c>
    </row>
    <row r="76" spans="1:13" ht="28">
      <c r="A76" s="4">
        <v>28</v>
      </c>
      <c r="B76" s="4" t="s">
        <v>313</v>
      </c>
      <c r="C76" s="4" t="s">
        <v>58</v>
      </c>
      <c r="D76" s="4" t="s">
        <v>314</v>
      </c>
      <c r="E76" s="4" t="s">
        <v>315</v>
      </c>
      <c r="F76" s="4" t="s">
        <v>206</v>
      </c>
      <c r="G76" s="4" t="s">
        <v>299</v>
      </c>
      <c r="H76" s="4" t="s">
        <v>312</v>
      </c>
      <c r="I76" s="4" t="s">
        <v>16</v>
      </c>
      <c r="J76" s="4"/>
      <c r="K76" s="4"/>
      <c r="L76" s="4"/>
      <c r="M76" s="4" t="s">
        <v>20</v>
      </c>
    </row>
    <row r="77" spans="1:13">
      <c r="A77" s="4">
        <v>29</v>
      </c>
      <c r="B77" s="4" t="s">
        <v>312</v>
      </c>
      <c r="C77" s="4" t="s">
        <v>58</v>
      </c>
      <c r="D77" s="4" t="s">
        <v>316</v>
      </c>
      <c r="E77" s="4" t="s">
        <v>317</v>
      </c>
      <c r="F77" s="4" t="s">
        <v>248</v>
      </c>
      <c r="G77" s="4" t="s">
        <v>318</v>
      </c>
      <c r="H77" s="4" t="s">
        <v>319</v>
      </c>
      <c r="I77" s="4" t="s">
        <v>16</v>
      </c>
      <c r="J77" s="4"/>
      <c r="K77" s="4"/>
      <c r="L77" s="4"/>
      <c r="M77" s="4" t="s">
        <v>20</v>
      </c>
    </row>
    <row r="78" spans="1:13" ht="28">
      <c r="A78" s="4">
        <v>30</v>
      </c>
      <c r="B78" s="4" t="s">
        <v>319</v>
      </c>
      <c r="C78" s="4" t="s">
        <v>58</v>
      </c>
      <c r="D78" s="4" t="s">
        <v>259</v>
      </c>
      <c r="E78" s="4" t="s">
        <v>320</v>
      </c>
      <c r="F78" s="4" t="s">
        <v>226</v>
      </c>
      <c r="G78" s="4" t="s">
        <v>321</v>
      </c>
      <c r="H78" s="4" t="s">
        <v>322</v>
      </c>
      <c r="I78" s="4" t="s">
        <v>16</v>
      </c>
      <c r="J78" s="4"/>
      <c r="K78" s="4"/>
      <c r="L78" s="4"/>
      <c r="M78" s="4" t="s">
        <v>20</v>
      </c>
    </row>
    <row r="79" spans="1:13" ht="28">
      <c r="A79" s="4">
        <v>31</v>
      </c>
      <c r="B79" s="4" t="s">
        <v>322</v>
      </c>
      <c r="C79" s="4" t="s">
        <v>58</v>
      </c>
      <c r="D79" s="4" t="s">
        <v>263</v>
      </c>
      <c r="E79" s="4" t="s">
        <v>323</v>
      </c>
      <c r="F79" s="4" t="s">
        <v>239</v>
      </c>
      <c r="G79" s="4" t="s">
        <v>319</v>
      </c>
      <c r="H79" s="4" t="s">
        <v>324</v>
      </c>
      <c r="I79" s="4" t="s">
        <v>16</v>
      </c>
      <c r="J79" s="4"/>
      <c r="K79" s="4"/>
      <c r="L79" s="4"/>
      <c r="M79" s="4" t="s">
        <v>20</v>
      </c>
    </row>
    <row r="80" spans="1:13">
      <c r="A80" s="4">
        <v>32</v>
      </c>
      <c r="B80" s="4" t="s">
        <v>325</v>
      </c>
      <c r="C80" s="4" t="s">
        <v>58</v>
      </c>
      <c r="D80" s="4" t="s">
        <v>326</v>
      </c>
      <c r="E80" s="4" t="s">
        <v>327</v>
      </c>
      <c r="F80" s="4" t="s">
        <v>239</v>
      </c>
      <c r="G80" s="4" t="s">
        <v>328</v>
      </c>
      <c r="H80" s="4" t="s">
        <v>329</v>
      </c>
      <c r="I80" s="4" t="s">
        <v>16</v>
      </c>
      <c r="J80" s="4"/>
      <c r="K80" s="4"/>
      <c r="L80" s="4"/>
      <c r="M80" s="4" t="s">
        <v>20</v>
      </c>
    </row>
    <row r="81" spans="1:13">
      <c r="A81" s="4">
        <v>33</v>
      </c>
      <c r="B81" s="4" t="s">
        <v>330</v>
      </c>
      <c r="C81" s="4" t="s">
        <v>58</v>
      </c>
      <c r="D81" s="4" t="s">
        <v>331</v>
      </c>
      <c r="E81" s="4" t="s">
        <v>332</v>
      </c>
      <c r="F81" s="4" t="s">
        <v>274</v>
      </c>
      <c r="G81" s="4" t="s">
        <v>333</v>
      </c>
      <c r="H81" s="4" t="s">
        <v>334</v>
      </c>
      <c r="I81" s="4" t="s">
        <v>16</v>
      </c>
      <c r="J81" s="4"/>
      <c r="K81" s="4"/>
      <c r="L81" s="4"/>
      <c r="M81" s="4" t="s">
        <v>20</v>
      </c>
    </row>
    <row r="82" spans="1:13">
      <c r="A82" s="4">
        <v>34</v>
      </c>
      <c r="B82" s="4" t="s">
        <v>335</v>
      </c>
      <c r="C82" s="4" t="s">
        <v>58</v>
      </c>
      <c r="D82" s="4" t="s">
        <v>278</v>
      </c>
      <c r="E82" s="4" t="s">
        <v>336</v>
      </c>
      <c r="F82" s="4" t="s">
        <v>274</v>
      </c>
      <c r="G82" s="4" t="s">
        <v>330</v>
      </c>
      <c r="H82" s="4" t="s">
        <v>337</v>
      </c>
      <c r="I82" s="4" t="s">
        <v>16</v>
      </c>
      <c r="J82" s="4"/>
      <c r="K82" s="4"/>
      <c r="L82" s="4"/>
      <c r="M82" s="4" t="s">
        <v>20</v>
      </c>
    </row>
    <row r="83" spans="1:13">
      <c r="A83" s="4">
        <v>35</v>
      </c>
      <c r="B83" s="4" t="s">
        <v>337</v>
      </c>
      <c r="C83" s="4" t="s">
        <v>58</v>
      </c>
      <c r="D83" s="4" t="s">
        <v>281</v>
      </c>
      <c r="E83" s="4" t="s">
        <v>338</v>
      </c>
      <c r="F83" s="4" t="s">
        <v>283</v>
      </c>
      <c r="G83" s="4" t="s">
        <v>335</v>
      </c>
      <c r="H83" s="4" t="s">
        <v>339</v>
      </c>
      <c r="I83" s="4" t="s">
        <v>16</v>
      </c>
      <c r="J83" s="4"/>
      <c r="K83" s="4"/>
      <c r="L83" s="4"/>
      <c r="M83" s="4" t="s">
        <v>20</v>
      </c>
    </row>
    <row r="84" spans="1:13">
      <c r="A84" s="4">
        <v>36</v>
      </c>
      <c r="B84" s="4" t="s">
        <v>340</v>
      </c>
      <c r="C84" s="4" t="s">
        <v>58</v>
      </c>
      <c r="D84" s="4" t="s">
        <v>286</v>
      </c>
      <c r="E84" s="4" t="s">
        <v>341</v>
      </c>
      <c r="F84" s="4" t="s">
        <v>206</v>
      </c>
      <c r="G84" s="4" t="s">
        <v>324</v>
      </c>
      <c r="H84" s="4" t="s">
        <v>342</v>
      </c>
      <c r="I84" s="4" t="s">
        <v>16</v>
      </c>
      <c r="J84" s="4"/>
      <c r="K84" s="4"/>
      <c r="L84" s="4"/>
      <c r="M84" s="4" t="s">
        <v>20</v>
      </c>
    </row>
    <row r="85" spans="1:13">
      <c r="A85" s="4">
        <v>37</v>
      </c>
      <c r="B85" s="4" t="s">
        <v>342</v>
      </c>
      <c r="C85" s="4" t="s">
        <v>58</v>
      </c>
      <c r="D85" s="4" t="s">
        <v>289</v>
      </c>
      <c r="E85" s="4" t="s">
        <v>343</v>
      </c>
      <c r="F85" s="4" t="s">
        <v>239</v>
      </c>
      <c r="G85" s="4" t="s">
        <v>340</v>
      </c>
      <c r="H85" s="4" t="s">
        <v>344</v>
      </c>
      <c r="I85" s="4" t="s">
        <v>16</v>
      </c>
      <c r="J85" s="4"/>
      <c r="K85" s="4"/>
      <c r="L85" s="4"/>
      <c r="M85" s="4" t="s">
        <v>20</v>
      </c>
    </row>
    <row r="86" spans="1:13" ht="28">
      <c r="A86" s="4">
        <v>38</v>
      </c>
      <c r="B86" s="4" t="s">
        <v>344</v>
      </c>
      <c r="C86" s="4" t="s">
        <v>58</v>
      </c>
      <c r="D86" s="4" t="s">
        <v>292</v>
      </c>
      <c r="E86" s="4" t="s">
        <v>345</v>
      </c>
      <c r="F86" s="4" t="s">
        <v>206</v>
      </c>
      <c r="G86" s="4" t="s">
        <v>342</v>
      </c>
      <c r="H86" s="4" t="s">
        <v>346</v>
      </c>
      <c r="I86" s="4" t="s">
        <v>16</v>
      </c>
      <c r="J86" s="4"/>
      <c r="K86" s="4"/>
      <c r="L86" s="4"/>
      <c r="M86" s="4" t="s">
        <v>20</v>
      </c>
    </row>
    <row r="87" spans="1:13" ht="28">
      <c r="A87" s="4">
        <v>39</v>
      </c>
      <c r="B87" s="4" t="s">
        <v>346</v>
      </c>
      <c r="C87" s="4" t="s">
        <v>58</v>
      </c>
      <c r="D87" s="4" t="s">
        <v>295</v>
      </c>
      <c r="E87" s="4" t="s">
        <v>347</v>
      </c>
      <c r="F87" s="4" t="s">
        <v>297</v>
      </c>
      <c r="G87" s="4" t="s">
        <v>348</v>
      </c>
      <c r="H87" s="4" t="s">
        <v>349</v>
      </c>
      <c r="I87" s="4" t="s">
        <v>16</v>
      </c>
      <c r="J87" s="4"/>
      <c r="K87" s="4"/>
      <c r="L87" s="4"/>
      <c r="M87" s="4" t="s">
        <v>20</v>
      </c>
    </row>
    <row r="88" spans="1:13">
      <c r="A88" s="4">
        <v>40</v>
      </c>
      <c r="B88" s="4" t="s">
        <v>349</v>
      </c>
      <c r="C88" s="4" t="s">
        <v>58</v>
      </c>
      <c r="D88" s="4" t="s">
        <v>350</v>
      </c>
      <c r="E88" s="4" t="s">
        <v>351</v>
      </c>
      <c r="F88" s="4" t="s">
        <v>302</v>
      </c>
      <c r="G88" s="4" t="s">
        <v>346</v>
      </c>
      <c r="H88" s="4" t="s">
        <v>352</v>
      </c>
      <c r="I88" s="4" t="s">
        <v>16</v>
      </c>
      <c r="J88" s="4"/>
      <c r="K88" s="4"/>
      <c r="L88" s="4"/>
      <c r="M88" s="4" t="s">
        <v>20</v>
      </c>
    </row>
    <row r="89" spans="1:13">
      <c r="A89" s="4">
        <v>41</v>
      </c>
      <c r="B89" s="4" t="s">
        <v>353</v>
      </c>
      <c r="C89" s="4" t="s">
        <v>65</v>
      </c>
      <c r="D89" s="4" t="s">
        <v>354</v>
      </c>
      <c r="E89" s="4" t="s">
        <v>355</v>
      </c>
      <c r="F89" s="4" t="s">
        <v>356</v>
      </c>
      <c r="G89" s="4" t="s">
        <v>357</v>
      </c>
      <c r="H89" s="4" t="s">
        <v>358</v>
      </c>
      <c r="I89" s="4" t="s">
        <v>16</v>
      </c>
      <c r="J89" s="4"/>
      <c r="K89" s="4"/>
      <c r="L89" s="4"/>
      <c r="M89" s="4" t="s">
        <v>20</v>
      </c>
    </row>
    <row r="90" spans="1:13" ht="28">
      <c r="A90" s="4">
        <v>42</v>
      </c>
      <c r="B90" s="4" t="s">
        <v>359</v>
      </c>
      <c r="C90" s="4" t="s">
        <v>65</v>
      </c>
      <c r="D90" s="4" t="s">
        <v>360</v>
      </c>
      <c r="E90" s="4" t="s">
        <v>361</v>
      </c>
      <c r="F90" s="4" t="s">
        <v>206</v>
      </c>
      <c r="G90" s="4" t="s">
        <v>349</v>
      </c>
      <c r="H90" s="4" t="s">
        <v>362</v>
      </c>
      <c r="I90" s="4" t="s">
        <v>16</v>
      </c>
      <c r="J90" s="4"/>
      <c r="K90" s="4"/>
      <c r="L90" s="4"/>
      <c r="M90" s="4" t="s">
        <v>20</v>
      </c>
    </row>
    <row r="91" spans="1:13">
      <c r="A91" s="4">
        <v>43</v>
      </c>
      <c r="B91" s="4" t="s">
        <v>362</v>
      </c>
      <c r="C91" s="4" t="s">
        <v>65</v>
      </c>
      <c r="D91" s="4" t="s">
        <v>363</v>
      </c>
      <c r="E91" s="4" t="s">
        <v>364</v>
      </c>
      <c r="F91" s="4" t="s">
        <v>248</v>
      </c>
      <c r="G91" s="4" t="s">
        <v>365</v>
      </c>
      <c r="H91" s="4" t="s">
        <v>366</v>
      </c>
      <c r="I91" s="4" t="s">
        <v>16</v>
      </c>
      <c r="J91" s="4"/>
      <c r="K91" s="4"/>
      <c r="L91" s="4"/>
      <c r="M91" s="4" t="s">
        <v>20</v>
      </c>
    </row>
    <row r="92" spans="1:13">
      <c r="A92" s="4">
        <v>44</v>
      </c>
      <c r="B92" s="4" t="s">
        <v>366</v>
      </c>
      <c r="C92" s="4" t="s">
        <v>65</v>
      </c>
      <c r="D92" s="4" t="s">
        <v>367</v>
      </c>
      <c r="E92" s="4" t="s">
        <v>256</v>
      </c>
      <c r="F92" s="4" t="s">
        <v>257</v>
      </c>
      <c r="G92" s="4" t="s">
        <v>368</v>
      </c>
      <c r="H92" s="4" t="s">
        <v>358</v>
      </c>
      <c r="I92" s="4" t="s">
        <v>16</v>
      </c>
      <c r="J92" s="4"/>
      <c r="K92" s="4"/>
      <c r="L92" s="4"/>
      <c r="M92" s="4" t="s">
        <v>20</v>
      </c>
    </row>
    <row r="93" spans="1:13" ht="28">
      <c r="A93" s="4">
        <v>45</v>
      </c>
      <c r="B93" s="4" t="s">
        <v>358</v>
      </c>
      <c r="C93" s="4" t="s">
        <v>65</v>
      </c>
      <c r="D93" s="4" t="s">
        <v>259</v>
      </c>
      <c r="E93" s="4" t="s">
        <v>369</v>
      </c>
      <c r="F93" s="4" t="s">
        <v>226</v>
      </c>
      <c r="G93" s="4" t="s">
        <v>370</v>
      </c>
      <c r="H93" s="4" t="s">
        <v>371</v>
      </c>
      <c r="I93" s="4" t="s">
        <v>16</v>
      </c>
      <c r="J93" s="4"/>
      <c r="K93" s="4"/>
      <c r="L93" s="4"/>
      <c r="M93" s="4" t="s">
        <v>20</v>
      </c>
    </row>
    <row r="94" spans="1:13" ht="28">
      <c r="A94" s="4">
        <v>46</v>
      </c>
      <c r="B94" s="4" t="s">
        <v>371</v>
      </c>
      <c r="C94" s="4" t="s">
        <v>65</v>
      </c>
      <c r="D94" s="4" t="s">
        <v>263</v>
      </c>
      <c r="E94" s="4" t="s">
        <v>372</v>
      </c>
      <c r="F94" s="4" t="s">
        <v>239</v>
      </c>
      <c r="G94" s="4" t="s">
        <v>358</v>
      </c>
      <c r="H94" s="4" t="s">
        <v>373</v>
      </c>
      <c r="I94" s="4" t="s">
        <v>16</v>
      </c>
      <c r="J94" s="4"/>
      <c r="K94" s="4"/>
      <c r="L94" s="4"/>
      <c r="M94" s="4" t="s">
        <v>20</v>
      </c>
    </row>
    <row r="95" spans="1:13">
      <c r="A95" s="4">
        <v>47</v>
      </c>
      <c r="B95" s="4" t="s">
        <v>374</v>
      </c>
      <c r="C95" s="4" t="s">
        <v>65</v>
      </c>
      <c r="D95" s="4" t="s">
        <v>375</v>
      </c>
      <c r="E95" s="4" t="s">
        <v>376</v>
      </c>
      <c r="F95" s="4" t="s">
        <v>239</v>
      </c>
      <c r="G95" s="4" t="s">
        <v>377</v>
      </c>
      <c r="H95" s="4" t="s">
        <v>378</v>
      </c>
      <c r="I95" s="4" t="s">
        <v>16</v>
      </c>
      <c r="J95" s="4"/>
      <c r="K95" s="4"/>
      <c r="L95" s="4"/>
      <c r="M95" s="4" t="s">
        <v>20</v>
      </c>
    </row>
    <row r="96" spans="1:13">
      <c r="A96" s="4">
        <v>48</v>
      </c>
      <c r="B96" s="4" t="s">
        <v>379</v>
      </c>
      <c r="C96" s="4" t="s">
        <v>65</v>
      </c>
      <c r="D96" s="4" t="s">
        <v>380</v>
      </c>
      <c r="E96" s="4" t="s">
        <v>381</v>
      </c>
      <c r="F96" s="4" t="s">
        <v>274</v>
      </c>
      <c r="G96" s="4" t="s">
        <v>382</v>
      </c>
      <c r="H96" s="4" t="s">
        <v>383</v>
      </c>
      <c r="I96" s="4" t="s">
        <v>16</v>
      </c>
      <c r="J96" s="4"/>
      <c r="K96" s="4"/>
      <c r="L96" s="4"/>
      <c r="M96" s="4" t="s">
        <v>20</v>
      </c>
    </row>
    <row r="97" spans="1:13">
      <c r="A97" s="4">
        <v>49</v>
      </c>
      <c r="B97" s="4" t="s">
        <v>384</v>
      </c>
      <c r="C97" s="4" t="s">
        <v>65</v>
      </c>
      <c r="D97" s="4" t="s">
        <v>278</v>
      </c>
      <c r="E97" s="4" t="s">
        <v>385</v>
      </c>
      <c r="F97" s="4" t="s">
        <v>274</v>
      </c>
      <c r="G97" s="4" t="s">
        <v>379</v>
      </c>
      <c r="H97" s="4" t="s">
        <v>386</v>
      </c>
      <c r="I97" s="4" t="s">
        <v>16</v>
      </c>
      <c r="J97" s="4"/>
      <c r="K97" s="4"/>
      <c r="L97" s="4"/>
      <c r="M97" s="4" t="s">
        <v>20</v>
      </c>
    </row>
    <row r="98" spans="1:13">
      <c r="A98" s="4">
        <v>50</v>
      </c>
      <c r="B98" s="4" t="s">
        <v>386</v>
      </c>
      <c r="C98" s="4" t="s">
        <v>65</v>
      </c>
      <c r="D98" s="4" t="s">
        <v>281</v>
      </c>
      <c r="E98" s="4" t="s">
        <v>387</v>
      </c>
      <c r="F98" s="4" t="s">
        <v>283</v>
      </c>
      <c r="G98" s="4" t="s">
        <v>384</v>
      </c>
      <c r="H98" s="4" t="s">
        <v>388</v>
      </c>
      <c r="I98" s="4" t="s">
        <v>16</v>
      </c>
      <c r="J98" s="4"/>
      <c r="K98" s="4"/>
      <c r="L98" s="4"/>
      <c r="M98" s="4" t="s">
        <v>20</v>
      </c>
    </row>
    <row r="99" spans="1:13">
      <c r="A99" s="4">
        <v>51</v>
      </c>
      <c r="B99" s="4" t="s">
        <v>389</v>
      </c>
      <c r="C99" s="4" t="s">
        <v>65</v>
      </c>
      <c r="D99" s="4" t="s">
        <v>286</v>
      </c>
      <c r="E99" s="4" t="s">
        <v>390</v>
      </c>
      <c r="F99" s="4" t="s">
        <v>206</v>
      </c>
      <c r="G99" s="4" t="s">
        <v>373</v>
      </c>
      <c r="H99" s="4" t="s">
        <v>391</v>
      </c>
      <c r="I99" s="4" t="s">
        <v>16</v>
      </c>
      <c r="J99" s="4"/>
      <c r="K99" s="4"/>
      <c r="L99" s="4"/>
      <c r="M99" s="4" t="s">
        <v>20</v>
      </c>
    </row>
    <row r="100" spans="1:13">
      <c r="A100" s="4">
        <v>52</v>
      </c>
      <c r="B100" s="4" t="s">
        <v>391</v>
      </c>
      <c r="C100" s="4" t="s">
        <v>65</v>
      </c>
      <c r="D100" s="4" t="s">
        <v>289</v>
      </c>
      <c r="E100" s="4" t="s">
        <v>392</v>
      </c>
      <c r="F100" s="4" t="s">
        <v>239</v>
      </c>
      <c r="G100" s="4" t="s">
        <v>389</v>
      </c>
      <c r="H100" s="4" t="s">
        <v>393</v>
      </c>
      <c r="I100" s="4" t="s">
        <v>16</v>
      </c>
      <c r="J100" s="4"/>
      <c r="K100" s="4"/>
      <c r="L100" s="4"/>
      <c r="M100" s="4" t="s">
        <v>20</v>
      </c>
    </row>
    <row r="101" spans="1:13" ht="28">
      <c r="A101" s="4">
        <v>53</v>
      </c>
      <c r="B101" s="4" t="s">
        <v>393</v>
      </c>
      <c r="C101" s="4" t="s">
        <v>65</v>
      </c>
      <c r="D101" s="4" t="s">
        <v>292</v>
      </c>
      <c r="E101" s="4" t="s">
        <v>394</v>
      </c>
      <c r="F101" s="4" t="s">
        <v>206</v>
      </c>
      <c r="G101" s="4" t="s">
        <v>391</v>
      </c>
      <c r="H101" s="4" t="s">
        <v>395</v>
      </c>
      <c r="I101" s="4" t="s">
        <v>16</v>
      </c>
      <c r="J101" s="4"/>
      <c r="K101" s="4"/>
      <c r="L101" s="4"/>
      <c r="M101" s="4" t="s">
        <v>20</v>
      </c>
    </row>
    <row r="102" spans="1:13" ht="28">
      <c r="A102" s="4">
        <v>54</v>
      </c>
      <c r="B102" s="4" t="s">
        <v>395</v>
      </c>
      <c r="C102" s="4" t="s">
        <v>65</v>
      </c>
      <c r="D102" s="4" t="s">
        <v>295</v>
      </c>
      <c r="E102" s="4" t="s">
        <v>396</v>
      </c>
      <c r="F102" s="4" t="s">
        <v>297</v>
      </c>
      <c r="G102" s="4" t="s">
        <v>397</v>
      </c>
      <c r="H102" s="4" t="s">
        <v>398</v>
      </c>
      <c r="I102" s="4" t="s">
        <v>16</v>
      </c>
      <c r="J102" s="4"/>
      <c r="K102" s="4"/>
      <c r="L102" s="4"/>
      <c r="M102" s="4" t="s">
        <v>20</v>
      </c>
    </row>
    <row r="103" spans="1:13">
      <c r="A103" s="4">
        <v>55</v>
      </c>
      <c r="B103" s="4" t="s">
        <v>398</v>
      </c>
      <c r="C103" s="4" t="s">
        <v>65</v>
      </c>
      <c r="D103" s="4" t="s">
        <v>399</v>
      </c>
      <c r="E103" s="4" t="s">
        <v>400</v>
      </c>
      <c r="F103" s="4" t="s">
        <v>297</v>
      </c>
      <c r="G103" s="4" t="s">
        <v>395</v>
      </c>
      <c r="H103" s="4" t="s">
        <v>401</v>
      </c>
      <c r="I103" s="4" t="s">
        <v>16</v>
      </c>
      <c r="J103" s="4"/>
      <c r="K103" s="4"/>
      <c r="L103" s="4"/>
      <c r="M103" s="4" t="s">
        <v>20</v>
      </c>
    </row>
    <row r="104" spans="1:13">
      <c r="A104" s="4">
        <v>56</v>
      </c>
      <c r="B104" s="4" t="s">
        <v>402</v>
      </c>
      <c r="C104" s="4" t="s">
        <v>65</v>
      </c>
      <c r="D104" s="4" t="s">
        <v>403</v>
      </c>
      <c r="E104" s="4" t="s">
        <v>404</v>
      </c>
      <c r="F104" s="4" t="s">
        <v>302</v>
      </c>
      <c r="G104" s="4" t="s">
        <v>398</v>
      </c>
      <c r="H104" s="4" t="s">
        <v>405</v>
      </c>
      <c r="I104" s="4" t="s">
        <v>16</v>
      </c>
      <c r="J104" s="4"/>
      <c r="K104" s="4"/>
      <c r="L104" s="4"/>
      <c r="M104" s="4" t="s">
        <v>20</v>
      </c>
    </row>
    <row r="105" spans="1:13">
      <c r="A105" s="4">
        <v>57</v>
      </c>
      <c r="B105" s="4" t="s">
        <v>406</v>
      </c>
      <c r="C105" s="4" t="s">
        <v>73</v>
      </c>
      <c r="D105" s="4" t="s">
        <v>407</v>
      </c>
      <c r="E105" s="4" t="s">
        <v>408</v>
      </c>
      <c r="F105" s="4" t="s">
        <v>206</v>
      </c>
      <c r="G105" s="4" t="s">
        <v>402</v>
      </c>
      <c r="H105" s="4" t="s">
        <v>409</v>
      </c>
      <c r="I105" s="4" t="s">
        <v>16</v>
      </c>
      <c r="J105" s="4"/>
      <c r="K105" s="4"/>
      <c r="L105" s="4"/>
      <c r="M105" s="4" t="s">
        <v>20</v>
      </c>
    </row>
    <row r="106" spans="1:13">
      <c r="A106" s="4">
        <v>58</v>
      </c>
      <c r="B106" s="4" t="s">
        <v>410</v>
      </c>
      <c r="C106" s="4" t="s">
        <v>73</v>
      </c>
      <c r="D106" s="4" t="s">
        <v>411</v>
      </c>
      <c r="E106" s="4" t="s">
        <v>412</v>
      </c>
      <c r="F106" s="4" t="s">
        <v>413</v>
      </c>
      <c r="G106" s="4" t="s">
        <v>398</v>
      </c>
      <c r="H106" s="4" t="s">
        <v>414</v>
      </c>
      <c r="I106" s="4" t="s">
        <v>16</v>
      </c>
      <c r="J106" s="4"/>
      <c r="K106" s="4"/>
      <c r="L106" s="4"/>
      <c r="M106" s="4" t="s">
        <v>20</v>
      </c>
    </row>
    <row r="107" spans="1:13">
      <c r="A107" s="4">
        <v>59</v>
      </c>
      <c r="B107" s="4" t="s">
        <v>415</v>
      </c>
      <c r="C107" s="4" t="s">
        <v>73</v>
      </c>
      <c r="D107" s="4" t="s">
        <v>416</v>
      </c>
      <c r="E107" s="4" t="s">
        <v>417</v>
      </c>
      <c r="F107" s="4" t="s">
        <v>178</v>
      </c>
      <c r="G107" s="4" t="s">
        <v>406</v>
      </c>
      <c r="H107" s="4" t="s">
        <v>414</v>
      </c>
      <c r="I107" s="4" t="s">
        <v>16</v>
      </c>
      <c r="J107" s="4"/>
      <c r="K107" s="4"/>
      <c r="L107" s="4"/>
      <c r="M107" s="4" t="s">
        <v>20</v>
      </c>
    </row>
    <row r="108" spans="1:13">
      <c r="A108" s="4">
        <v>60</v>
      </c>
      <c r="B108" s="4" t="s">
        <v>418</v>
      </c>
      <c r="C108" s="4" t="s">
        <v>73</v>
      </c>
      <c r="D108" s="4" t="s">
        <v>419</v>
      </c>
      <c r="E108" s="4" t="s">
        <v>420</v>
      </c>
      <c r="F108" s="4" t="s">
        <v>421</v>
      </c>
      <c r="G108" s="4" t="s">
        <v>422</v>
      </c>
      <c r="H108" s="4" t="s">
        <v>414</v>
      </c>
      <c r="I108" s="4" t="s">
        <v>16</v>
      </c>
      <c r="J108" s="4"/>
      <c r="K108" s="4"/>
      <c r="L108" s="4"/>
      <c r="M108" s="4" t="s">
        <v>20</v>
      </c>
    </row>
    <row r="109" spans="1:13">
      <c r="A109" s="4">
        <v>61</v>
      </c>
      <c r="B109" s="4" t="s">
        <v>423</v>
      </c>
      <c r="C109" s="4" t="s">
        <v>73</v>
      </c>
      <c r="D109" s="4" t="s">
        <v>424</v>
      </c>
      <c r="E109" s="4" t="s">
        <v>424</v>
      </c>
      <c r="F109" s="4" t="s">
        <v>425</v>
      </c>
      <c r="G109" s="4" t="s">
        <v>426</v>
      </c>
      <c r="H109" s="4" t="s">
        <v>414</v>
      </c>
      <c r="I109" s="4" t="s">
        <v>16</v>
      </c>
      <c r="J109" s="4"/>
      <c r="K109" s="4"/>
      <c r="L109" s="4"/>
      <c r="M109" s="4" t="s">
        <v>20</v>
      </c>
    </row>
    <row r="110" spans="1:13">
      <c r="A110" s="4">
        <v>62</v>
      </c>
      <c r="B110" s="4" t="s">
        <v>427</v>
      </c>
      <c r="C110" s="4" t="s">
        <v>73</v>
      </c>
      <c r="D110" s="4" t="s">
        <v>428</v>
      </c>
      <c r="E110" s="4" t="s">
        <v>429</v>
      </c>
      <c r="F110" s="4" t="s">
        <v>430</v>
      </c>
      <c r="G110" s="4" t="s">
        <v>426</v>
      </c>
      <c r="H110" s="4" t="s">
        <v>414</v>
      </c>
      <c r="I110" s="4" t="s">
        <v>16</v>
      </c>
      <c r="J110" s="4"/>
      <c r="K110" s="4"/>
      <c r="L110" s="4"/>
      <c r="M110" s="4" t="s">
        <v>20</v>
      </c>
    </row>
    <row r="111" spans="1:13">
      <c r="A111" s="4">
        <v>63</v>
      </c>
      <c r="B111" s="4" t="s">
        <v>414</v>
      </c>
      <c r="C111" s="4" t="s">
        <v>73</v>
      </c>
      <c r="D111" s="4" t="s">
        <v>431</v>
      </c>
      <c r="E111" s="4" t="s">
        <v>431</v>
      </c>
      <c r="F111" s="4" t="s">
        <v>432</v>
      </c>
      <c r="G111" s="4" t="s">
        <v>433</v>
      </c>
      <c r="H111" s="4"/>
      <c r="I111" s="4" t="s">
        <v>16</v>
      </c>
      <c r="J111" s="4"/>
      <c r="K111" s="4"/>
      <c r="L111" s="4"/>
      <c r="M111" s="4" t="s">
        <v>20</v>
      </c>
    </row>
    <row r="113" spans="1:13">
      <c r="A113" s="6" t="s">
        <v>524</v>
      </c>
      <c r="B113" s="6"/>
      <c r="C113" s="6"/>
      <c r="D113" s="6"/>
      <c r="E113" s="6"/>
      <c r="F113" s="6"/>
      <c r="G113" s="6"/>
      <c r="H113" s="6"/>
      <c r="I113" s="6"/>
      <c r="J113" s="6"/>
    </row>
    <row r="114" spans="1:13">
      <c r="A114" s="1" t="s">
        <v>525</v>
      </c>
      <c r="B114" s="1" t="s">
        <v>526</v>
      </c>
      <c r="C114" s="1" t="s">
        <v>459</v>
      </c>
      <c r="D114" s="1" t="s">
        <v>3</v>
      </c>
      <c r="E114" s="1" t="s">
        <v>4</v>
      </c>
      <c r="F114" s="1" t="s">
        <v>511</v>
      </c>
      <c r="G114" s="1" t="s">
        <v>527</v>
      </c>
      <c r="H114" s="1" t="s">
        <v>528</v>
      </c>
      <c r="I114" s="1" t="s">
        <v>529</v>
      </c>
      <c r="J114" s="1" t="s">
        <v>530</v>
      </c>
      <c r="K114" s="1" t="s">
        <v>440</v>
      </c>
    </row>
    <row r="115" spans="1:13">
      <c r="A115" t="s">
        <v>583</v>
      </c>
      <c r="B115" t="s">
        <v>584</v>
      </c>
      <c r="C115" t="s">
        <v>585</v>
      </c>
      <c r="D115" t="s">
        <v>50</v>
      </c>
      <c r="E115" t="s">
        <v>29</v>
      </c>
      <c r="F115" t="s">
        <v>152</v>
      </c>
      <c r="G115" t="s">
        <v>586</v>
      </c>
      <c r="H115" t="s">
        <v>587</v>
      </c>
      <c r="I115" t="s">
        <v>22</v>
      </c>
      <c r="J115" t="s">
        <v>501</v>
      </c>
      <c r="K115" t="s">
        <v>20</v>
      </c>
    </row>
    <row r="116" spans="1:13">
      <c r="A116" t="s">
        <v>588</v>
      </c>
      <c r="B116" t="s">
        <v>589</v>
      </c>
      <c r="C116" t="s">
        <v>590</v>
      </c>
      <c r="D116" t="s">
        <v>26</v>
      </c>
      <c r="E116" t="s">
        <v>17</v>
      </c>
      <c r="F116" t="s">
        <v>152</v>
      </c>
      <c r="G116" t="s">
        <v>591</v>
      </c>
      <c r="H116" t="s">
        <v>592</v>
      </c>
      <c r="I116" t="s">
        <v>22</v>
      </c>
      <c r="J116" t="s">
        <v>501</v>
      </c>
      <c r="K116" t="s">
        <v>20</v>
      </c>
    </row>
    <row r="117" spans="1:13">
      <c r="A117" t="s">
        <v>593</v>
      </c>
      <c r="B117" t="s">
        <v>235</v>
      </c>
      <c r="C117" t="s">
        <v>206</v>
      </c>
      <c r="D117" t="s">
        <v>26</v>
      </c>
      <c r="E117" t="s">
        <v>29</v>
      </c>
      <c r="F117" t="s">
        <v>594</v>
      </c>
      <c r="G117" t="s">
        <v>595</v>
      </c>
      <c r="H117" t="s">
        <v>596</v>
      </c>
      <c r="I117" t="s">
        <v>45</v>
      </c>
      <c r="J117" t="s">
        <v>136</v>
      </c>
      <c r="K117" t="s">
        <v>20</v>
      </c>
    </row>
    <row r="118" spans="1:13">
      <c r="A118" t="s">
        <v>597</v>
      </c>
      <c r="B118" t="s">
        <v>598</v>
      </c>
      <c r="C118" t="s">
        <v>599</v>
      </c>
      <c r="D118" t="s">
        <v>28</v>
      </c>
      <c r="E118" t="s">
        <v>29</v>
      </c>
      <c r="F118" t="s">
        <v>600</v>
      </c>
      <c r="G118" t="s">
        <v>601</v>
      </c>
      <c r="H118" t="s">
        <v>602</v>
      </c>
      <c r="I118" t="s">
        <v>603</v>
      </c>
      <c r="J118" t="s">
        <v>501</v>
      </c>
      <c r="K118" t="s">
        <v>20</v>
      </c>
    </row>
    <row r="120" spans="1:13">
      <c r="A120" s="6" t="s">
        <v>546</v>
      </c>
      <c r="B120" s="6"/>
      <c r="C120" s="6"/>
      <c r="D120" s="6"/>
      <c r="E120" s="6"/>
      <c r="F120" s="6"/>
      <c r="G120" s="6"/>
      <c r="H120" s="6"/>
      <c r="I120" s="6"/>
      <c r="J120" s="6"/>
    </row>
    <row r="121" spans="1:13">
      <c r="A121" s="1" t="s">
        <v>547</v>
      </c>
      <c r="B121" s="1" t="s">
        <v>472</v>
      </c>
      <c r="C121" s="1" t="s">
        <v>548</v>
      </c>
      <c r="D121" s="1" t="s">
        <v>474</v>
      </c>
      <c r="E121" s="1" t="s">
        <v>523</v>
      </c>
      <c r="F121" s="1" t="s">
        <v>511</v>
      </c>
      <c r="G121" s="1" t="s">
        <v>3</v>
      </c>
      <c r="H121" s="1" t="s">
        <v>549</v>
      </c>
      <c r="I121" s="1" t="s">
        <v>550</v>
      </c>
      <c r="J121" s="1" t="s">
        <v>551</v>
      </c>
      <c r="K121" s="1" t="s">
        <v>9</v>
      </c>
      <c r="L121" s="1" t="s">
        <v>552</v>
      </c>
      <c r="M121" s="1" t="s">
        <v>440</v>
      </c>
    </row>
    <row r="122" spans="1:13">
      <c r="A122" t="s">
        <v>604</v>
      </c>
      <c r="B122" t="s">
        <v>501</v>
      </c>
      <c r="C122" t="s">
        <v>605</v>
      </c>
      <c r="D122" t="s">
        <v>606</v>
      </c>
      <c r="E122" t="s">
        <v>590</v>
      </c>
      <c r="F122" t="s">
        <v>152</v>
      </c>
      <c r="G122" t="s">
        <v>78</v>
      </c>
      <c r="H122" t="s">
        <v>607</v>
      </c>
      <c r="I122" t="s">
        <v>588</v>
      </c>
      <c r="J122" t="s">
        <v>589</v>
      </c>
      <c r="K122" t="s">
        <v>22</v>
      </c>
      <c r="M122" t="s">
        <v>20</v>
      </c>
    </row>
    <row r="123" spans="1:13">
      <c r="A123" t="s">
        <v>608</v>
      </c>
      <c r="B123" t="s">
        <v>501</v>
      </c>
      <c r="C123" t="s">
        <v>609</v>
      </c>
      <c r="D123" t="s">
        <v>149</v>
      </c>
      <c r="E123" t="s">
        <v>610</v>
      </c>
      <c r="F123" t="s">
        <v>152</v>
      </c>
      <c r="G123" t="s">
        <v>26</v>
      </c>
      <c r="H123" t="s">
        <v>611</v>
      </c>
      <c r="I123" t="s">
        <v>588</v>
      </c>
      <c r="J123" t="s">
        <v>589</v>
      </c>
      <c r="K123" t="s">
        <v>22</v>
      </c>
      <c r="M123" t="s">
        <v>20</v>
      </c>
    </row>
    <row r="124" spans="1:13">
      <c r="A124" t="s">
        <v>612</v>
      </c>
      <c r="B124" t="s">
        <v>501</v>
      </c>
      <c r="C124" t="s">
        <v>613</v>
      </c>
      <c r="D124" t="s">
        <v>206</v>
      </c>
      <c r="E124" t="s">
        <v>614</v>
      </c>
      <c r="F124" t="s">
        <v>181</v>
      </c>
      <c r="G124" t="s">
        <v>84</v>
      </c>
      <c r="H124" t="s">
        <v>615</v>
      </c>
      <c r="I124" t="s">
        <v>597</v>
      </c>
      <c r="J124" t="s">
        <v>598</v>
      </c>
      <c r="K124" t="s">
        <v>22</v>
      </c>
      <c r="M124" t="s">
        <v>20</v>
      </c>
    </row>
    <row r="126" spans="1:13">
      <c r="A126" s="6" t="s">
        <v>560</v>
      </c>
      <c r="B126" s="6"/>
      <c r="C126" s="6"/>
      <c r="D126" s="6"/>
      <c r="E126" s="6"/>
      <c r="F126" s="6"/>
      <c r="G126" s="6"/>
      <c r="H126" s="6"/>
      <c r="I126" s="6"/>
      <c r="J126" s="6"/>
    </row>
    <row r="127" spans="1:13">
      <c r="A127" s="1" t="s">
        <v>561</v>
      </c>
      <c r="B127" s="1" t="s">
        <v>13</v>
      </c>
      <c r="C127" s="1" t="s">
        <v>459</v>
      </c>
      <c r="D127" s="1" t="s">
        <v>511</v>
      </c>
      <c r="E127" s="1" t="s">
        <v>3</v>
      </c>
      <c r="F127" s="1" t="s">
        <v>461</v>
      </c>
      <c r="G127" s="1" t="s">
        <v>440</v>
      </c>
    </row>
    <row r="128" spans="1:13">
      <c r="A128" t="s">
        <v>616</v>
      </c>
      <c r="B128" t="s">
        <v>17</v>
      </c>
      <c r="E128" t="s">
        <v>85</v>
      </c>
      <c r="G128" t="s">
        <v>20</v>
      </c>
    </row>
  </sheetData>
  <mergeCells count="1">
    <mergeCell ref="A1:J1"/>
  </mergeCells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9"/>
  <sheetViews>
    <sheetView workbookViewId="0">
      <selection sqref="A1:J1"/>
    </sheetView>
  </sheetViews>
  <sheetFormatPr defaultRowHeight="14"/>
  <cols>
    <col min="1" max="1" width="14" customWidth="1"/>
    <col min="2" max="2" width="16" customWidth="1"/>
    <col min="3" max="3" width="28" customWidth="1"/>
    <col min="4" max="4" width="18" customWidth="1"/>
    <col min="5" max="5" width="48" customWidth="1"/>
    <col min="6" max="6" width="28" customWidth="1"/>
    <col min="7" max="8" width="24" customWidth="1"/>
    <col min="9" max="10" width="18" customWidth="1"/>
    <col min="11" max="11" width="16" customWidth="1"/>
    <col min="12" max="12" width="30" customWidth="1"/>
    <col min="13" max="13" width="12" customWidth="1"/>
  </cols>
  <sheetData>
    <row r="1" spans="1:13" ht="18">
      <c r="A1" s="22" t="s">
        <v>617</v>
      </c>
      <c r="B1" s="22"/>
      <c r="C1" s="22"/>
      <c r="D1" s="22"/>
      <c r="E1" s="22"/>
      <c r="F1" s="22"/>
      <c r="G1" s="22"/>
      <c r="H1" s="22"/>
      <c r="I1" s="22"/>
      <c r="J1" s="22"/>
      <c r="K1" s="4"/>
      <c r="L1" s="4"/>
      <c r="M1" s="4"/>
    </row>
    <row r="3" spans="1:13">
      <c r="A3" s="6" t="s">
        <v>492</v>
      </c>
      <c r="B3" s="6"/>
      <c r="C3" s="6"/>
      <c r="D3" s="6"/>
      <c r="E3" s="6"/>
      <c r="F3" s="6"/>
      <c r="G3" s="6"/>
      <c r="H3" s="6"/>
      <c r="I3" s="6"/>
      <c r="J3" s="6"/>
    </row>
    <row r="4" spans="1:13">
      <c r="A4" s="1" t="s">
        <v>493</v>
      </c>
      <c r="B4" s="1" t="s">
        <v>494</v>
      </c>
      <c r="C4" s="1" t="s">
        <v>440</v>
      </c>
      <c r="D4" s="1" t="s">
        <v>461</v>
      </c>
    </row>
    <row r="5" spans="1:13">
      <c r="A5" t="s">
        <v>120</v>
      </c>
      <c r="B5" t="s">
        <v>154</v>
      </c>
      <c r="C5" t="s">
        <v>20</v>
      </c>
    </row>
    <row r="6" spans="1:13">
      <c r="A6" t="s">
        <v>121</v>
      </c>
      <c r="B6" t="s">
        <v>155</v>
      </c>
      <c r="C6" t="s">
        <v>20</v>
      </c>
    </row>
    <row r="7" spans="1:13">
      <c r="A7" t="s">
        <v>122</v>
      </c>
      <c r="B7" t="s">
        <v>156</v>
      </c>
      <c r="C7" t="s">
        <v>20</v>
      </c>
    </row>
    <row r="8" spans="1:13">
      <c r="A8" t="s">
        <v>5</v>
      </c>
      <c r="B8" t="s">
        <v>30</v>
      </c>
      <c r="C8" t="s">
        <v>20</v>
      </c>
    </row>
    <row r="9" spans="1:13">
      <c r="A9" t="s">
        <v>3</v>
      </c>
      <c r="B9" t="s">
        <v>50</v>
      </c>
      <c r="C9" t="s">
        <v>20</v>
      </c>
    </row>
    <row r="10" spans="1:13">
      <c r="A10" t="s">
        <v>4</v>
      </c>
      <c r="B10" t="s">
        <v>17</v>
      </c>
      <c r="C10" t="s">
        <v>20</v>
      </c>
    </row>
    <row r="11" spans="1:13">
      <c r="A11" t="s">
        <v>6</v>
      </c>
      <c r="B11" t="s">
        <v>31</v>
      </c>
      <c r="C11" t="s">
        <v>20</v>
      </c>
    </row>
    <row r="12" spans="1:13">
      <c r="A12" t="s">
        <v>123</v>
      </c>
      <c r="B12" t="s">
        <v>157</v>
      </c>
      <c r="C12" t="s">
        <v>20</v>
      </c>
    </row>
    <row r="13" spans="1:13">
      <c r="A13" t="s">
        <v>124</v>
      </c>
      <c r="B13" t="s">
        <v>158</v>
      </c>
      <c r="C13" t="s">
        <v>20</v>
      </c>
    </row>
    <row r="14" spans="1:13">
      <c r="A14" t="s">
        <v>495</v>
      </c>
      <c r="B14" t="s">
        <v>618</v>
      </c>
      <c r="C14" t="s">
        <v>20</v>
      </c>
    </row>
    <row r="15" spans="1:13">
      <c r="A15" t="s">
        <v>125</v>
      </c>
      <c r="B15" t="s">
        <v>159</v>
      </c>
      <c r="C15" t="s">
        <v>20</v>
      </c>
    </row>
    <row r="16" spans="1:13">
      <c r="A16" t="s">
        <v>126</v>
      </c>
      <c r="B16" t="s">
        <v>152</v>
      </c>
      <c r="C16" t="s">
        <v>20</v>
      </c>
    </row>
    <row r="17" spans="1:10">
      <c r="A17" t="s">
        <v>497</v>
      </c>
      <c r="B17" t="s">
        <v>619</v>
      </c>
      <c r="C17" t="s">
        <v>20</v>
      </c>
    </row>
    <row r="18" spans="1:10">
      <c r="A18" t="s">
        <v>127</v>
      </c>
      <c r="B18" t="s">
        <v>50</v>
      </c>
      <c r="C18" t="s">
        <v>20</v>
      </c>
    </row>
    <row r="19" spans="1:10">
      <c r="A19" t="s">
        <v>128</v>
      </c>
      <c r="B19" t="s">
        <v>20</v>
      </c>
      <c r="C19" t="s">
        <v>20</v>
      </c>
      <c r="D19" t="s">
        <v>499</v>
      </c>
    </row>
    <row r="20" spans="1:10">
      <c r="A20" t="s">
        <v>500</v>
      </c>
      <c r="B20" t="s">
        <v>501</v>
      </c>
      <c r="C20" t="s">
        <v>20</v>
      </c>
    </row>
    <row r="22" spans="1:10">
      <c r="A22" s="6" t="s">
        <v>502</v>
      </c>
      <c r="B22" s="6"/>
      <c r="C22" s="6"/>
      <c r="D22" s="6"/>
      <c r="E22" s="6"/>
      <c r="F22" s="6"/>
      <c r="G22" s="6"/>
      <c r="H22" s="6"/>
      <c r="I22" s="6"/>
      <c r="J22" s="6"/>
    </row>
    <row r="23" spans="1:10">
      <c r="A23" s="1" t="s">
        <v>503</v>
      </c>
      <c r="B23" s="1" t="s">
        <v>3</v>
      </c>
      <c r="C23" s="1" t="s">
        <v>459</v>
      </c>
      <c r="D23" s="1" t="s">
        <v>126</v>
      </c>
      <c r="E23" s="1" t="s">
        <v>461</v>
      </c>
      <c r="F23" s="1" t="s">
        <v>440</v>
      </c>
    </row>
    <row r="24" spans="1:10">
      <c r="A24" t="s">
        <v>504</v>
      </c>
      <c r="B24" t="s">
        <v>26</v>
      </c>
      <c r="F24" t="s">
        <v>20</v>
      </c>
    </row>
    <row r="25" spans="1:10">
      <c r="A25" t="s">
        <v>505</v>
      </c>
      <c r="B25" t="s">
        <v>26</v>
      </c>
      <c r="F25" t="s">
        <v>20</v>
      </c>
    </row>
    <row r="26" spans="1:10">
      <c r="A26" t="s">
        <v>506</v>
      </c>
      <c r="B26" t="s">
        <v>38</v>
      </c>
      <c r="F26" t="s">
        <v>20</v>
      </c>
    </row>
    <row r="27" spans="1:10">
      <c r="A27" t="s">
        <v>507</v>
      </c>
      <c r="F27" t="s">
        <v>20</v>
      </c>
    </row>
    <row r="28" spans="1:10">
      <c r="A28" t="s">
        <v>508</v>
      </c>
      <c r="F28" t="s">
        <v>20</v>
      </c>
    </row>
    <row r="29" spans="1:10">
      <c r="A29" t="s">
        <v>509</v>
      </c>
      <c r="F29" t="s">
        <v>20</v>
      </c>
    </row>
    <row r="31" spans="1:10">
      <c r="A31" s="6" t="s">
        <v>510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s="1" t="s">
        <v>10</v>
      </c>
      <c r="B32" s="1" t="s">
        <v>80</v>
      </c>
      <c r="C32" s="1" t="s">
        <v>3</v>
      </c>
      <c r="D32" s="1" t="s">
        <v>459</v>
      </c>
      <c r="E32" s="1" t="s">
        <v>511</v>
      </c>
      <c r="F32" s="1" t="s">
        <v>461</v>
      </c>
      <c r="G32" s="1" t="s">
        <v>440</v>
      </c>
    </row>
    <row r="33" spans="1:13">
      <c r="A33" t="s">
        <v>23</v>
      </c>
      <c r="B33" t="s">
        <v>20</v>
      </c>
      <c r="C33" t="s">
        <v>80</v>
      </c>
      <c r="G33" t="s">
        <v>20</v>
      </c>
    </row>
    <row r="34" spans="1:13">
      <c r="A34" t="s">
        <v>35</v>
      </c>
      <c r="B34" t="s">
        <v>32</v>
      </c>
      <c r="C34" t="s">
        <v>16</v>
      </c>
      <c r="G34" t="s">
        <v>20</v>
      </c>
    </row>
    <row r="35" spans="1:13">
      <c r="A35" t="s">
        <v>46</v>
      </c>
      <c r="B35" t="s">
        <v>32</v>
      </c>
      <c r="C35" t="s">
        <v>16</v>
      </c>
      <c r="G35" t="s">
        <v>20</v>
      </c>
    </row>
    <row r="36" spans="1:13">
      <c r="A36" t="s">
        <v>56</v>
      </c>
      <c r="B36" t="s">
        <v>32</v>
      </c>
      <c r="C36" t="s">
        <v>16</v>
      </c>
      <c r="G36" t="s">
        <v>20</v>
      </c>
    </row>
    <row r="37" spans="1:13">
      <c r="A37" t="s">
        <v>36</v>
      </c>
      <c r="B37" t="s">
        <v>20</v>
      </c>
      <c r="C37" t="s">
        <v>80</v>
      </c>
      <c r="G37" t="s">
        <v>20</v>
      </c>
    </row>
    <row r="38" spans="1:13">
      <c r="A38" t="s">
        <v>71</v>
      </c>
      <c r="B38" t="s">
        <v>20</v>
      </c>
      <c r="C38" t="s">
        <v>80</v>
      </c>
      <c r="G38" t="s">
        <v>20</v>
      </c>
    </row>
    <row r="40" spans="1:13">
      <c r="A40" s="6" t="s">
        <v>512</v>
      </c>
      <c r="B40" s="6"/>
      <c r="C40" s="6"/>
      <c r="D40" s="6"/>
      <c r="E40" s="6"/>
      <c r="F40" s="6"/>
      <c r="G40" s="6"/>
      <c r="H40" s="6"/>
      <c r="I40" s="6"/>
      <c r="J40" s="6"/>
    </row>
    <row r="41" spans="1:13">
      <c r="A41" s="1" t="s">
        <v>513</v>
      </c>
      <c r="B41" s="1" t="s">
        <v>514</v>
      </c>
      <c r="C41" s="1" t="s">
        <v>515</v>
      </c>
      <c r="D41" s="1" t="s">
        <v>3</v>
      </c>
      <c r="E41" s="1" t="s">
        <v>459</v>
      </c>
      <c r="F41" s="1" t="s">
        <v>126</v>
      </c>
      <c r="G41" s="1" t="s">
        <v>461</v>
      </c>
      <c r="H41" s="1" t="s">
        <v>440</v>
      </c>
    </row>
    <row r="42" spans="1:13">
      <c r="A42" t="s">
        <v>516</v>
      </c>
      <c r="B42">
        <v>0</v>
      </c>
      <c r="C42">
        <v>0</v>
      </c>
      <c r="D42" t="s">
        <v>16</v>
      </c>
      <c r="H42" t="s">
        <v>20</v>
      </c>
    </row>
    <row r="43" spans="1:13">
      <c r="A43" t="s">
        <v>517</v>
      </c>
      <c r="B43">
        <v>0</v>
      </c>
      <c r="C43">
        <v>0</v>
      </c>
      <c r="D43" t="s">
        <v>16</v>
      </c>
      <c r="H43" t="s">
        <v>20</v>
      </c>
    </row>
    <row r="44" spans="1:13">
      <c r="A44" t="s">
        <v>518</v>
      </c>
      <c r="B44">
        <v>0</v>
      </c>
      <c r="C44">
        <v>0</v>
      </c>
      <c r="D44" t="s">
        <v>16</v>
      </c>
      <c r="H44" t="s">
        <v>20</v>
      </c>
    </row>
    <row r="45" spans="1:13">
      <c r="A45" t="s">
        <v>519</v>
      </c>
      <c r="B45">
        <v>0</v>
      </c>
      <c r="C45">
        <v>0</v>
      </c>
      <c r="D45" t="s">
        <v>16</v>
      </c>
      <c r="H45" t="s">
        <v>20</v>
      </c>
    </row>
    <row r="47" spans="1:13">
      <c r="A47" s="6" t="s">
        <v>520</v>
      </c>
      <c r="B47" s="6"/>
      <c r="C47" s="6"/>
      <c r="D47" s="6"/>
      <c r="E47" s="6"/>
      <c r="F47" s="6"/>
      <c r="G47" s="6"/>
      <c r="H47" s="6"/>
      <c r="I47" s="6"/>
      <c r="J47" s="6"/>
    </row>
    <row r="48" spans="1:13">
      <c r="A48" s="7" t="s">
        <v>521</v>
      </c>
      <c r="B48" s="7" t="s">
        <v>190</v>
      </c>
      <c r="C48" s="7" t="s">
        <v>192</v>
      </c>
      <c r="D48" s="7" t="s">
        <v>121</v>
      </c>
      <c r="E48" s="7" t="s">
        <v>522</v>
      </c>
      <c r="F48" s="7" t="s">
        <v>523</v>
      </c>
      <c r="G48" s="7" t="s">
        <v>195</v>
      </c>
      <c r="H48" s="7" t="s">
        <v>196</v>
      </c>
      <c r="I48" s="7" t="s">
        <v>3</v>
      </c>
      <c r="J48" s="7" t="s">
        <v>459</v>
      </c>
      <c r="K48" s="11" t="s">
        <v>511</v>
      </c>
      <c r="L48" s="11" t="s">
        <v>461</v>
      </c>
      <c r="M48" s="11" t="s">
        <v>440</v>
      </c>
    </row>
    <row r="49" spans="1:13">
      <c r="A49" s="4">
        <v>1</v>
      </c>
      <c r="B49" s="4" t="s">
        <v>200</v>
      </c>
      <c r="C49" s="4" t="s">
        <v>25</v>
      </c>
      <c r="D49" s="4" t="s">
        <v>201</v>
      </c>
      <c r="E49" s="4" t="s">
        <v>202</v>
      </c>
      <c r="F49" s="4" t="s">
        <v>178</v>
      </c>
      <c r="G49" s="4"/>
      <c r="H49" s="4" t="s">
        <v>203</v>
      </c>
      <c r="I49" s="4" t="s">
        <v>26</v>
      </c>
      <c r="J49" s="4"/>
      <c r="K49" s="4"/>
      <c r="L49" s="4"/>
      <c r="M49" s="4" t="s">
        <v>20</v>
      </c>
    </row>
    <row r="50" spans="1:13">
      <c r="A50" s="4">
        <v>2</v>
      </c>
      <c r="B50" s="4" t="s">
        <v>203</v>
      </c>
      <c r="C50" s="4" t="s">
        <v>25</v>
      </c>
      <c r="D50" s="4" t="s">
        <v>204</v>
      </c>
      <c r="E50" s="4" t="s">
        <v>205</v>
      </c>
      <c r="F50" s="4" t="s">
        <v>206</v>
      </c>
      <c r="G50" s="4" t="s">
        <v>200</v>
      </c>
      <c r="H50" s="4" t="s">
        <v>207</v>
      </c>
      <c r="I50" s="4" t="s">
        <v>26</v>
      </c>
      <c r="J50" s="4"/>
      <c r="K50" s="4"/>
      <c r="L50" s="4"/>
      <c r="M50" s="4" t="s">
        <v>20</v>
      </c>
    </row>
    <row r="51" spans="1:13">
      <c r="A51" s="4">
        <v>3</v>
      </c>
      <c r="B51" s="4" t="s">
        <v>207</v>
      </c>
      <c r="C51" s="4" t="s">
        <v>25</v>
      </c>
      <c r="D51" s="4" t="s">
        <v>208</v>
      </c>
      <c r="E51" s="4" t="s">
        <v>209</v>
      </c>
      <c r="F51" s="4" t="s">
        <v>206</v>
      </c>
      <c r="G51" s="4" t="s">
        <v>203</v>
      </c>
      <c r="H51" s="4" t="s">
        <v>210</v>
      </c>
      <c r="I51" s="4" t="s">
        <v>26</v>
      </c>
      <c r="J51" s="4"/>
      <c r="K51" s="4"/>
      <c r="L51" s="4"/>
      <c r="M51" s="4" t="s">
        <v>20</v>
      </c>
    </row>
    <row r="52" spans="1:13">
      <c r="A52" s="4">
        <v>4</v>
      </c>
      <c r="B52" s="4" t="s">
        <v>210</v>
      </c>
      <c r="C52" s="4" t="s">
        <v>25</v>
      </c>
      <c r="D52" s="4" t="s">
        <v>211</v>
      </c>
      <c r="E52" s="4" t="s">
        <v>212</v>
      </c>
      <c r="F52" s="4" t="s">
        <v>178</v>
      </c>
      <c r="G52" s="4" t="s">
        <v>207</v>
      </c>
      <c r="H52" s="4" t="s">
        <v>213</v>
      </c>
      <c r="I52" s="4" t="s">
        <v>26</v>
      </c>
      <c r="J52" s="4"/>
      <c r="K52" s="4"/>
      <c r="L52" s="4"/>
      <c r="M52" s="4" t="s">
        <v>20</v>
      </c>
    </row>
    <row r="53" spans="1:13" ht="28">
      <c r="A53" s="4">
        <v>5</v>
      </c>
      <c r="B53" s="4" t="s">
        <v>214</v>
      </c>
      <c r="C53" s="4" t="s">
        <v>25</v>
      </c>
      <c r="D53" s="4" t="s">
        <v>215</v>
      </c>
      <c r="E53" s="4" t="s">
        <v>216</v>
      </c>
      <c r="F53" s="4" t="s">
        <v>217</v>
      </c>
      <c r="G53" s="4" t="s">
        <v>210</v>
      </c>
      <c r="H53" s="4" t="s">
        <v>218</v>
      </c>
      <c r="I53" s="4" t="s">
        <v>26</v>
      </c>
      <c r="J53" s="4"/>
      <c r="K53" s="4"/>
      <c r="L53" s="4"/>
      <c r="M53" s="4" t="s">
        <v>20</v>
      </c>
    </row>
    <row r="54" spans="1:13">
      <c r="A54" s="4">
        <v>6</v>
      </c>
      <c r="B54" s="4" t="s">
        <v>219</v>
      </c>
      <c r="C54" s="4" t="s">
        <v>25</v>
      </c>
      <c r="D54" s="4" t="s">
        <v>220</v>
      </c>
      <c r="E54" s="4" t="s">
        <v>221</v>
      </c>
      <c r="F54" s="4" t="s">
        <v>217</v>
      </c>
      <c r="G54" s="4" t="s">
        <v>207</v>
      </c>
      <c r="H54" s="4" t="s">
        <v>222</v>
      </c>
      <c r="I54" s="4" t="s">
        <v>26</v>
      </c>
      <c r="J54" s="4"/>
      <c r="K54" s="4"/>
      <c r="L54" s="4"/>
      <c r="M54" s="4" t="s">
        <v>20</v>
      </c>
    </row>
    <row r="55" spans="1:13" ht="28">
      <c r="A55" s="4">
        <v>7</v>
      </c>
      <c r="B55" s="4" t="s">
        <v>223</v>
      </c>
      <c r="C55" s="4" t="s">
        <v>25</v>
      </c>
      <c r="D55" s="4" t="s">
        <v>224</v>
      </c>
      <c r="E55" s="4" t="s">
        <v>225</v>
      </c>
      <c r="F55" s="4" t="s">
        <v>226</v>
      </c>
      <c r="G55" s="4" t="s">
        <v>210</v>
      </c>
      <c r="H55" s="4" t="s">
        <v>227</v>
      </c>
      <c r="I55" s="4" t="s">
        <v>26</v>
      </c>
      <c r="J55" s="4"/>
      <c r="K55" s="4"/>
      <c r="L55" s="4"/>
      <c r="M55" s="4" t="s">
        <v>20</v>
      </c>
    </row>
    <row r="56" spans="1:13">
      <c r="A56" s="4">
        <v>8</v>
      </c>
      <c r="B56" s="4" t="s">
        <v>228</v>
      </c>
      <c r="C56" s="4" t="s">
        <v>25</v>
      </c>
      <c r="D56" s="4" t="s">
        <v>229</v>
      </c>
      <c r="E56" s="4" t="s">
        <v>230</v>
      </c>
      <c r="F56" s="4" t="s">
        <v>231</v>
      </c>
      <c r="G56" s="4" t="s">
        <v>214</v>
      </c>
      <c r="H56" s="4" t="s">
        <v>232</v>
      </c>
      <c r="I56" s="4" t="s">
        <v>26</v>
      </c>
      <c r="J56" s="4"/>
      <c r="K56" s="4"/>
      <c r="L56" s="4"/>
      <c r="M56" s="4" t="s">
        <v>20</v>
      </c>
    </row>
    <row r="57" spans="1:13">
      <c r="A57" s="4">
        <v>9</v>
      </c>
      <c r="B57" s="4" t="s">
        <v>233</v>
      </c>
      <c r="C57" s="4" t="s">
        <v>25</v>
      </c>
      <c r="D57" s="4" t="s">
        <v>234</v>
      </c>
      <c r="E57" s="4" t="s">
        <v>235</v>
      </c>
      <c r="F57" s="4" t="s">
        <v>206</v>
      </c>
      <c r="G57" s="4" t="s">
        <v>214</v>
      </c>
      <c r="H57" s="4" t="s">
        <v>232</v>
      </c>
      <c r="I57" s="4" t="s">
        <v>26</v>
      </c>
      <c r="J57" s="4"/>
      <c r="K57" s="4"/>
      <c r="L57" s="4"/>
      <c r="M57" s="4" t="s">
        <v>20</v>
      </c>
    </row>
    <row r="58" spans="1:13" ht="28">
      <c r="A58" s="4">
        <v>10</v>
      </c>
      <c r="B58" s="4" t="s">
        <v>236</v>
      </c>
      <c r="C58" s="4" t="s">
        <v>37</v>
      </c>
      <c r="D58" s="4" t="s">
        <v>237</v>
      </c>
      <c r="E58" s="4" t="s">
        <v>238</v>
      </c>
      <c r="F58" s="4" t="s">
        <v>239</v>
      </c>
      <c r="G58" s="4" t="s">
        <v>219</v>
      </c>
      <c r="H58" s="4" t="s">
        <v>240</v>
      </c>
      <c r="I58" s="4" t="s">
        <v>26</v>
      </c>
      <c r="J58" s="4"/>
      <c r="K58" s="4"/>
      <c r="L58" s="4"/>
      <c r="M58" s="4" t="s">
        <v>20</v>
      </c>
    </row>
    <row r="59" spans="1:13" ht="28">
      <c r="A59" s="4">
        <v>11</v>
      </c>
      <c r="B59" s="4" t="s">
        <v>241</v>
      </c>
      <c r="C59" s="4" t="s">
        <v>37</v>
      </c>
      <c r="D59" s="4" t="s">
        <v>242</v>
      </c>
      <c r="E59" s="4" t="s">
        <v>243</v>
      </c>
      <c r="F59" s="4" t="s">
        <v>239</v>
      </c>
      <c r="G59" s="4" t="s">
        <v>219</v>
      </c>
      <c r="H59" s="4" t="s">
        <v>244</v>
      </c>
      <c r="I59" s="4" t="s">
        <v>26</v>
      </c>
      <c r="J59" s="4"/>
      <c r="K59" s="4"/>
      <c r="L59" s="4"/>
      <c r="M59" s="4" t="s">
        <v>20</v>
      </c>
    </row>
    <row r="60" spans="1:13" ht="28">
      <c r="A60" s="4">
        <v>12</v>
      </c>
      <c r="B60" s="4" t="s">
        <v>245</v>
      </c>
      <c r="C60" s="4" t="s">
        <v>37</v>
      </c>
      <c r="D60" s="4" t="s">
        <v>246</v>
      </c>
      <c r="E60" s="4" t="s">
        <v>247</v>
      </c>
      <c r="F60" s="4" t="s">
        <v>248</v>
      </c>
      <c r="G60" s="4" t="s">
        <v>241</v>
      </c>
      <c r="H60" s="4" t="s">
        <v>249</v>
      </c>
      <c r="I60" s="4" t="s">
        <v>26</v>
      </c>
      <c r="J60" s="4"/>
      <c r="K60" s="4"/>
      <c r="L60" s="4"/>
      <c r="M60" s="4" t="s">
        <v>20</v>
      </c>
    </row>
    <row r="61" spans="1:13" ht="28">
      <c r="A61" s="4">
        <v>13</v>
      </c>
      <c r="B61" s="4" t="s">
        <v>250</v>
      </c>
      <c r="C61" s="4" t="s">
        <v>37</v>
      </c>
      <c r="D61" s="4" t="s">
        <v>251</v>
      </c>
      <c r="E61" s="4" t="s">
        <v>252</v>
      </c>
      <c r="F61" s="4" t="s">
        <v>248</v>
      </c>
      <c r="G61" s="4" t="s">
        <v>245</v>
      </c>
      <c r="H61" s="4" t="s">
        <v>253</v>
      </c>
      <c r="I61" s="4" t="s">
        <v>26</v>
      </c>
      <c r="J61" s="4"/>
      <c r="K61" s="4"/>
      <c r="L61" s="4"/>
      <c r="M61" s="4" t="s">
        <v>20</v>
      </c>
    </row>
    <row r="62" spans="1:13" ht="28">
      <c r="A62" s="4">
        <v>14</v>
      </c>
      <c r="B62" s="4" t="s">
        <v>254</v>
      </c>
      <c r="C62" s="4" t="s">
        <v>37</v>
      </c>
      <c r="D62" s="4" t="s">
        <v>255</v>
      </c>
      <c r="E62" s="4" t="s">
        <v>256</v>
      </c>
      <c r="F62" s="4" t="s">
        <v>257</v>
      </c>
      <c r="G62" s="4" t="s">
        <v>250</v>
      </c>
      <c r="H62" s="4" t="s">
        <v>258</v>
      </c>
      <c r="I62" s="4" t="s">
        <v>26</v>
      </c>
      <c r="J62" s="4"/>
      <c r="K62" s="4"/>
      <c r="L62" s="4"/>
      <c r="M62" s="4" t="s">
        <v>20</v>
      </c>
    </row>
    <row r="63" spans="1:13" ht="28">
      <c r="A63" s="4">
        <v>15</v>
      </c>
      <c r="B63" s="4" t="s">
        <v>240</v>
      </c>
      <c r="C63" s="4" t="s">
        <v>48</v>
      </c>
      <c r="D63" s="4" t="s">
        <v>259</v>
      </c>
      <c r="E63" s="4" t="s">
        <v>260</v>
      </c>
      <c r="F63" s="4" t="s">
        <v>226</v>
      </c>
      <c r="G63" s="4" t="s">
        <v>261</v>
      </c>
      <c r="H63" s="4" t="s">
        <v>262</v>
      </c>
      <c r="I63" s="4" t="s">
        <v>26</v>
      </c>
      <c r="J63" s="4"/>
      <c r="K63" s="4"/>
      <c r="L63" s="4"/>
      <c r="M63" s="4" t="s">
        <v>20</v>
      </c>
    </row>
    <row r="64" spans="1:13" ht="28">
      <c r="A64" s="4">
        <v>16</v>
      </c>
      <c r="B64" s="4" t="s">
        <v>262</v>
      </c>
      <c r="C64" s="4" t="s">
        <v>48</v>
      </c>
      <c r="D64" s="4" t="s">
        <v>263</v>
      </c>
      <c r="E64" s="4" t="s">
        <v>264</v>
      </c>
      <c r="F64" s="4" t="s">
        <v>239</v>
      </c>
      <c r="G64" s="4" t="s">
        <v>240</v>
      </c>
      <c r="H64" s="4" t="s">
        <v>265</v>
      </c>
      <c r="I64" s="4" t="s">
        <v>26</v>
      </c>
      <c r="J64" s="4"/>
      <c r="K64" s="4"/>
      <c r="L64" s="4"/>
      <c r="M64" s="4" t="s">
        <v>20</v>
      </c>
    </row>
    <row r="65" spans="1:13">
      <c r="A65" s="4">
        <v>17</v>
      </c>
      <c r="B65" s="4" t="s">
        <v>266</v>
      </c>
      <c r="C65" s="4" t="s">
        <v>48</v>
      </c>
      <c r="D65" s="4" t="s">
        <v>267</v>
      </c>
      <c r="E65" s="4" t="s">
        <v>268</v>
      </c>
      <c r="F65" s="4" t="s">
        <v>239</v>
      </c>
      <c r="G65" s="4" t="s">
        <v>269</v>
      </c>
      <c r="H65" s="4" t="s">
        <v>270</v>
      </c>
      <c r="I65" s="4" t="s">
        <v>50</v>
      </c>
      <c r="J65" s="4"/>
      <c r="K65" s="4"/>
      <c r="L65" s="4"/>
      <c r="M65" s="4" t="s">
        <v>20</v>
      </c>
    </row>
    <row r="66" spans="1:13">
      <c r="A66" s="4">
        <v>18</v>
      </c>
      <c r="B66" s="4" t="s">
        <v>271</v>
      </c>
      <c r="C66" s="4" t="s">
        <v>48</v>
      </c>
      <c r="D66" s="4" t="s">
        <v>272</v>
      </c>
      <c r="E66" s="4" t="s">
        <v>273</v>
      </c>
      <c r="F66" s="4" t="s">
        <v>274</v>
      </c>
      <c r="G66" s="4" t="s">
        <v>275</v>
      </c>
      <c r="H66" s="4" t="s">
        <v>276</v>
      </c>
      <c r="I66" s="4" t="s">
        <v>50</v>
      </c>
      <c r="J66" s="4"/>
      <c r="K66" s="4"/>
      <c r="L66" s="4"/>
      <c r="M66" s="4" t="s">
        <v>20</v>
      </c>
    </row>
    <row r="67" spans="1:13">
      <c r="A67" s="4">
        <v>19</v>
      </c>
      <c r="B67" s="4" t="s">
        <v>277</v>
      </c>
      <c r="C67" s="4" t="s">
        <v>48</v>
      </c>
      <c r="D67" s="4" t="s">
        <v>278</v>
      </c>
      <c r="E67" s="4" t="s">
        <v>279</v>
      </c>
      <c r="F67" s="4" t="s">
        <v>274</v>
      </c>
      <c r="G67" s="4" t="s">
        <v>271</v>
      </c>
      <c r="H67" s="4" t="s">
        <v>280</v>
      </c>
      <c r="I67" s="4" t="s">
        <v>16</v>
      </c>
      <c r="J67" s="4"/>
      <c r="K67" s="4"/>
      <c r="L67" s="4"/>
      <c r="M67" s="4" t="s">
        <v>20</v>
      </c>
    </row>
    <row r="68" spans="1:13">
      <c r="A68" s="4">
        <v>20</v>
      </c>
      <c r="B68" s="4" t="s">
        <v>280</v>
      </c>
      <c r="C68" s="4" t="s">
        <v>48</v>
      </c>
      <c r="D68" s="4" t="s">
        <v>281</v>
      </c>
      <c r="E68" s="4" t="s">
        <v>282</v>
      </c>
      <c r="F68" s="4" t="s">
        <v>283</v>
      </c>
      <c r="G68" s="4" t="s">
        <v>277</v>
      </c>
      <c r="H68" s="4" t="s">
        <v>284</v>
      </c>
      <c r="I68" s="4" t="s">
        <v>16</v>
      </c>
      <c r="J68" s="4"/>
      <c r="K68" s="4"/>
      <c r="L68" s="4"/>
      <c r="M68" s="4" t="s">
        <v>20</v>
      </c>
    </row>
    <row r="69" spans="1:13">
      <c r="A69" s="4">
        <v>21</v>
      </c>
      <c r="B69" s="4" t="s">
        <v>285</v>
      </c>
      <c r="C69" s="4" t="s">
        <v>48</v>
      </c>
      <c r="D69" s="4" t="s">
        <v>286</v>
      </c>
      <c r="E69" s="4" t="s">
        <v>287</v>
      </c>
      <c r="F69" s="4" t="s">
        <v>206</v>
      </c>
      <c r="G69" s="4" t="s">
        <v>265</v>
      </c>
      <c r="H69" s="4" t="s">
        <v>288</v>
      </c>
      <c r="I69" s="4" t="s">
        <v>16</v>
      </c>
      <c r="J69" s="4"/>
      <c r="K69" s="4"/>
      <c r="L69" s="4"/>
      <c r="M69" s="4" t="s">
        <v>20</v>
      </c>
    </row>
    <row r="70" spans="1:13">
      <c r="A70" s="4">
        <v>22</v>
      </c>
      <c r="B70" s="4" t="s">
        <v>288</v>
      </c>
      <c r="C70" s="4" t="s">
        <v>48</v>
      </c>
      <c r="D70" s="4" t="s">
        <v>289</v>
      </c>
      <c r="E70" s="4" t="s">
        <v>290</v>
      </c>
      <c r="F70" s="4" t="s">
        <v>239</v>
      </c>
      <c r="G70" s="4" t="s">
        <v>285</v>
      </c>
      <c r="H70" s="4" t="s">
        <v>291</v>
      </c>
      <c r="I70" s="4" t="s">
        <v>16</v>
      </c>
      <c r="J70" s="4"/>
      <c r="K70" s="4"/>
      <c r="L70" s="4"/>
      <c r="M70" s="4" t="s">
        <v>20</v>
      </c>
    </row>
    <row r="71" spans="1:13" ht="28">
      <c r="A71" s="4">
        <v>23</v>
      </c>
      <c r="B71" s="4" t="s">
        <v>291</v>
      </c>
      <c r="C71" s="4" t="s">
        <v>48</v>
      </c>
      <c r="D71" s="4" t="s">
        <v>292</v>
      </c>
      <c r="E71" s="4" t="s">
        <v>293</v>
      </c>
      <c r="F71" s="4" t="s">
        <v>206</v>
      </c>
      <c r="G71" s="4" t="s">
        <v>288</v>
      </c>
      <c r="H71" s="4" t="s">
        <v>294</v>
      </c>
      <c r="I71" s="4" t="s">
        <v>16</v>
      </c>
      <c r="J71" s="4"/>
      <c r="K71" s="4"/>
      <c r="L71" s="4"/>
      <c r="M71" s="4" t="s">
        <v>20</v>
      </c>
    </row>
    <row r="72" spans="1:13" ht="28">
      <c r="A72" s="4">
        <v>24</v>
      </c>
      <c r="B72" s="4" t="s">
        <v>294</v>
      </c>
      <c r="C72" s="4" t="s">
        <v>48</v>
      </c>
      <c r="D72" s="4" t="s">
        <v>295</v>
      </c>
      <c r="E72" s="4" t="s">
        <v>296</v>
      </c>
      <c r="F72" s="4" t="s">
        <v>297</v>
      </c>
      <c r="G72" s="4" t="s">
        <v>298</v>
      </c>
      <c r="H72" s="4" t="s">
        <v>299</v>
      </c>
      <c r="I72" s="4" t="s">
        <v>16</v>
      </c>
      <c r="J72" s="4"/>
      <c r="K72" s="4"/>
      <c r="L72" s="4"/>
      <c r="M72" s="4" t="s">
        <v>20</v>
      </c>
    </row>
    <row r="73" spans="1:13">
      <c r="A73" s="4">
        <v>25</v>
      </c>
      <c r="B73" s="4" t="s">
        <v>299</v>
      </c>
      <c r="C73" s="4" t="s">
        <v>48</v>
      </c>
      <c r="D73" s="4" t="s">
        <v>300</v>
      </c>
      <c r="E73" s="4" t="s">
        <v>301</v>
      </c>
      <c r="F73" s="4" t="s">
        <v>302</v>
      </c>
      <c r="G73" s="4" t="s">
        <v>294</v>
      </c>
      <c r="H73" s="4" t="s">
        <v>303</v>
      </c>
      <c r="I73" s="4" t="s">
        <v>16</v>
      </c>
      <c r="J73" s="4"/>
      <c r="K73" s="4"/>
      <c r="L73" s="4"/>
      <c r="M73" s="4" t="s">
        <v>20</v>
      </c>
    </row>
    <row r="74" spans="1:13">
      <c r="A74" s="4">
        <v>26</v>
      </c>
      <c r="B74" s="4" t="s">
        <v>304</v>
      </c>
      <c r="C74" s="4" t="s">
        <v>58</v>
      </c>
      <c r="D74" s="4" t="s">
        <v>305</v>
      </c>
      <c r="E74" s="4" t="s">
        <v>306</v>
      </c>
      <c r="F74" s="4" t="s">
        <v>239</v>
      </c>
      <c r="G74" s="4" t="s">
        <v>299</v>
      </c>
      <c r="H74" s="4" t="s">
        <v>307</v>
      </c>
      <c r="I74" s="4" t="s">
        <v>16</v>
      </c>
      <c r="J74" s="4"/>
      <c r="K74" s="4"/>
      <c r="L74" s="4"/>
      <c r="M74" s="4" t="s">
        <v>20</v>
      </c>
    </row>
    <row r="75" spans="1:13">
      <c r="A75" s="4">
        <v>27</v>
      </c>
      <c r="B75" s="4" t="s">
        <v>308</v>
      </c>
      <c r="C75" s="4" t="s">
        <v>58</v>
      </c>
      <c r="D75" s="4" t="s">
        <v>309</v>
      </c>
      <c r="E75" s="4" t="s">
        <v>310</v>
      </c>
      <c r="F75" s="4" t="s">
        <v>311</v>
      </c>
      <c r="G75" s="4" t="s">
        <v>304</v>
      </c>
      <c r="H75" s="4" t="s">
        <v>312</v>
      </c>
      <c r="I75" s="4" t="s">
        <v>16</v>
      </c>
      <c r="J75" s="4"/>
      <c r="K75" s="4"/>
      <c r="L75" s="4"/>
      <c r="M75" s="4" t="s">
        <v>20</v>
      </c>
    </row>
    <row r="76" spans="1:13" ht="28">
      <c r="A76" s="4">
        <v>28</v>
      </c>
      <c r="B76" s="4" t="s">
        <v>313</v>
      </c>
      <c r="C76" s="4" t="s">
        <v>58</v>
      </c>
      <c r="D76" s="4" t="s">
        <v>314</v>
      </c>
      <c r="E76" s="4" t="s">
        <v>315</v>
      </c>
      <c r="F76" s="4" t="s">
        <v>206</v>
      </c>
      <c r="G76" s="4" t="s">
        <v>299</v>
      </c>
      <c r="H76" s="4" t="s">
        <v>312</v>
      </c>
      <c r="I76" s="4" t="s">
        <v>16</v>
      </c>
      <c r="J76" s="4"/>
      <c r="K76" s="4"/>
      <c r="L76" s="4"/>
      <c r="M76" s="4" t="s">
        <v>20</v>
      </c>
    </row>
    <row r="77" spans="1:13">
      <c r="A77" s="4">
        <v>29</v>
      </c>
      <c r="B77" s="4" t="s">
        <v>312</v>
      </c>
      <c r="C77" s="4" t="s">
        <v>58</v>
      </c>
      <c r="D77" s="4" t="s">
        <v>316</v>
      </c>
      <c r="E77" s="4" t="s">
        <v>317</v>
      </c>
      <c r="F77" s="4" t="s">
        <v>248</v>
      </c>
      <c r="G77" s="4" t="s">
        <v>318</v>
      </c>
      <c r="H77" s="4" t="s">
        <v>319</v>
      </c>
      <c r="I77" s="4" t="s">
        <v>16</v>
      </c>
      <c r="J77" s="4"/>
      <c r="K77" s="4"/>
      <c r="L77" s="4"/>
      <c r="M77" s="4" t="s">
        <v>20</v>
      </c>
    </row>
    <row r="78" spans="1:13" ht="28">
      <c r="A78" s="4">
        <v>30</v>
      </c>
      <c r="B78" s="4" t="s">
        <v>319</v>
      </c>
      <c r="C78" s="4" t="s">
        <v>58</v>
      </c>
      <c r="D78" s="4" t="s">
        <v>259</v>
      </c>
      <c r="E78" s="4" t="s">
        <v>320</v>
      </c>
      <c r="F78" s="4" t="s">
        <v>226</v>
      </c>
      <c r="G78" s="4" t="s">
        <v>321</v>
      </c>
      <c r="H78" s="4" t="s">
        <v>322</v>
      </c>
      <c r="I78" s="4" t="s">
        <v>16</v>
      </c>
      <c r="J78" s="4"/>
      <c r="K78" s="4"/>
      <c r="L78" s="4"/>
      <c r="M78" s="4" t="s">
        <v>20</v>
      </c>
    </row>
    <row r="79" spans="1:13" ht="28">
      <c r="A79" s="4">
        <v>31</v>
      </c>
      <c r="B79" s="4" t="s">
        <v>322</v>
      </c>
      <c r="C79" s="4" t="s">
        <v>58</v>
      </c>
      <c r="D79" s="4" t="s">
        <v>263</v>
      </c>
      <c r="E79" s="4" t="s">
        <v>323</v>
      </c>
      <c r="F79" s="4" t="s">
        <v>239</v>
      </c>
      <c r="G79" s="4" t="s">
        <v>319</v>
      </c>
      <c r="H79" s="4" t="s">
        <v>324</v>
      </c>
      <c r="I79" s="4" t="s">
        <v>16</v>
      </c>
      <c r="J79" s="4"/>
      <c r="K79" s="4"/>
      <c r="L79" s="4"/>
      <c r="M79" s="4" t="s">
        <v>20</v>
      </c>
    </row>
    <row r="80" spans="1:13">
      <c r="A80" s="4">
        <v>32</v>
      </c>
      <c r="B80" s="4" t="s">
        <v>325</v>
      </c>
      <c r="C80" s="4" t="s">
        <v>58</v>
      </c>
      <c r="D80" s="4" t="s">
        <v>326</v>
      </c>
      <c r="E80" s="4" t="s">
        <v>327</v>
      </c>
      <c r="F80" s="4" t="s">
        <v>239</v>
      </c>
      <c r="G80" s="4" t="s">
        <v>328</v>
      </c>
      <c r="H80" s="4" t="s">
        <v>329</v>
      </c>
      <c r="I80" s="4" t="s">
        <v>16</v>
      </c>
      <c r="J80" s="4"/>
      <c r="K80" s="4"/>
      <c r="L80" s="4"/>
      <c r="M80" s="4" t="s">
        <v>20</v>
      </c>
    </row>
    <row r="81" spans="1:13">
      <c r="A81" s="4">
        <v>33</v>
      </c>
      <c r="B81" s="4" t="s">
        <v>330</v>
      </c>
      <c r="C81" s="4" t="s">
        <v>58</v>
      </c>
      <c r="D81" s="4" t="s">
        <v>331</v>
      </c>
      <c r="E81" s="4" t="s">
        <v>332</v>
      </c>
      <c r="F81" s="4" t="s">
        <v>274</v>
      </c>
      <c r="G81" s="4" t="s">
        <v>333</v>
      </c>
      <c r="H81" s="4" t="s">
        <v>334</v>
      </c>
      <c r="I81" s="4" t="s">
        <v>16</v>
      </c>
      <c r="J81" s="4"/>
      <c r="K81" s="4"/>
      <c r="L81" s="4"/>
      <c r="M81" s="4" t="s">
        <v>20</v>
      </c>
    </row>
    <row r="82" spans="1:13">
      <c r="A82" s="4">
        <v>34</v>
      </c>
      <c r="B82" s="4" t="s">
        <v>335</v>
      </c>
      <c r="C82" s="4" t="s">
        <v>58</v>
      </c>
      <c r="D82" s="4" t="s">
        <v>278</v>
      </c>
      <c r="E82" s="4" t="s">
        <v>336</v>
      </c>
      <c r="F82" s="4" t="s">
        <v>274</v>
      </c>
      <c r="G82" s="4" t="s">
        <v>330</v>
      </c>
      <c r="H82" s="4" t="s">
        <v>337</v>
      </c>
      <c r="I82" s="4" t="s">
        <v>16</v>
      </c>
      <c r="J82" s="4"/>
      <c r="K82" s="4"/>
      <c r="L82" s="4"/>
      <c r="M82" s="4" t="s">
        <v>20</v>
      </c>
    </row>
    <row r="83" spans="1:13">
      <c r="A83" s="4">
        <v>35</v>
      </c>
      <c r="B83" s="4" t="s">
        <v>337</v>
      </c>
      <c r="C83" s="4" t="s">
        <v>58</v>
      </c>
      <c r="D83" s="4" t="s">
        <v>281</v>
      </c>
      <c r="E83" s="4" t="s">
        <v>338</v>
      </c>
      <c r="F83" s="4" t="s">
        <v>283</v>
      </c>
      <c r="G83" s="4" t="s">
        <v>335</v>
      </c>
      <c r="H83" s="4" t="s">
        <v>339</v>
      </c>
      <c r="I83" s="4" t="s">
        <v>16</v>
      </c>
      <c r="J83" s="4"/>
      <c r="K83" s="4"/>
      <c r="L83" s="4"/>
      <c r="M83" s="4" t="s">
        <v>20</v>
      </c>
    </row>
    <row r="84" spans="1:13">
      <c r="A84" s="4">
        <v>36</v>
      </c>
      <c r="B84" s="4" t="s">
        <v>340</v>
      </c>
      <c r="C84" s="4" t="s">
        <v>58</v>
      </c>
      <c r="D84" s="4" t="s">
        <v>286</v>
      </c>
      <c r="E84" s="4" t="s">
        <v>341</v>
      </c>
      <c r="F84" s="4" t="s">
        <v>206</v>
      </c>
      <c r="G84" s="4" t="s">
        <v>324</v>
      </c>
      <c r="H84" s="4" t="s">
        <v>342</v>
      </c>
      <c r="I84" s="4" t="s">
        <v>16</v>
      </c>
      <c r="J84" s="4"/>
      <c r="K84" s="4"/>
      <c r="L84" s="4"/>
      <c r="M84" s="4" t="s">
        <v>20</v>
      </c>
    </row>
    <row r="85" spans="1:13">
      <c r="A85" s="4">
        <v>37</v>
      </c>
      <c r="B85" s="4" t="s">
        <v>342</v>
      </c>
      <c r="C85" s="4" t="s">
        <v>58</v>
      </c>
      <c r="D85" s="4" t="s">
        <v>289</v>
      </c>
      <c r="E85" s="4" t="s">
        <v>343</v>
      </c>
      <c r="F85" s="4" t="s">
        <v>239</v>
      </c>
      <c r="G85" s="4" t="s">
        <v>340</v>
      </c>
      <c r="H85" s="4" t="s">
        <v>344</v>
      </c>
      <c r="I85" s="4" t="s">
        <v>16</v>
      </c>
      <c r="J85" s="4"/>
      <c r="K85" s="4"/>
      <c r="L85" s="4"/>
      <c r="M85" s="4" t="s">
        <v>20</v>
      </c>
    </row>
    <row r="86" spans="1:13" ht="28">
      <c r="A86" s="4">
        <v>38</v>
      </c>
      <c r="B86" s="4" t="s">
        <v>344</v>
      </c>
      <c r="C86" s="4" t="s">
        <v>58</v>
      </c>
      <c r="D86" s="4" t="s">
        <v>292</v>
      </c>
      <c r="E86" s="4" t="s">
        <v>345</v>
      </c>
      <c r="F86" s="4" t="s">
        <v>206</v>
      </c>
      <c r="G86" s="4" t="s">
        <v>342</v>
      </c>
      <c r="H86" s="4" t="s">
        <v>346</v>
      </c>
      <c r="I86" s="4" t="s">
        <v>16</v>
      </c>
      <c r="J86" s="4"/>
      <c r="K86" s="4"/>
      <c r="L86" s="4"/>
      <c r="M86" s="4" t="s">
        <v>20</v>
      </c>
    </row>
    <row r="87" spans="1:13" ht="28">
      <c r="A87" s="4">
        <v>39</v>
      </c>
      <c r="B87" s="4" t="s">
        <v>346</v>
      </c>
      <c r="C87" s="4" t="s">
        <v>58</v>
      </c>
      <c r="D87" s="4" t="s">
        <v>295</v>
      </c>
      <c r="E87" s="4" t="s">
        <v>347</v>
      </c>
      <c r="F87" s="4" t="s">
        <v>297</v>
      </c>
      <c r="G87" s="4" t="s">
        <v>348</v>
      </c>
      <c r="H87" s="4" t="s">
        <v>349</v>
      </c>
      <c r="I87" s="4" t="s">
        <v>16</v>
      </c>
      <c r="J87" s="4"/>
      <c r="K87" s="4"/>
      <c r="L87" s="4"/>
      <c r="M87" s="4" t="s">
        <v>20</v>
      </c>
    </row>
    <row r="88" spans="1:13">
      <c r="A88" s="4">
        <v>40</v>
      </c>
      <c r="B88" s="4" t="s">
        <v>349</v>
      </c>
      <c r="C88" s="4" t="s">
        <v>58</v>
      </c>
      <c r="D88" s="4" t="s">
        <v>350</v>
      </c>
      <c r="E88" s="4" t="s">
        <v>351</v>
      </c>
      <c r="F88" s="4" t="s">
        <v>302</v>
      </c>
      <c r="G88" s="4" t="s">
        <v>346</v>
      </c>
      <c r="H88" s="4" t="s">
        <v>352</v>
      </c>
      <c r="I88" s="4" t="s">
        <v>16</v>
      </c>
      <c r="J88" s="4"/>
      <c r="K88" s="4"/>
      <c r="L88" s="4"/>
      <c r="M88" s="4" t="s">
        <v>20</v>
      </c>
    </row>
    <row r="89" spans="1:13">
      <c r="A89" s="4">
        <v>41</v>
      </c>
      <c r="B89" s="4" t="s">
        <v>353</v>
      </c>
      <c r="C89" s="4" t="s">
        <v>65</v>
      </c>
      <c r="D89" s="4" t="s">
        <v>354</v>
      </c>
      <c r="E89" s="4" t="s">
        <v>355</v>
      </c>
      <c r="F89" s="4" t="s">
        <v>356</v>
      </c>
      <c r="G89" s="4" t="s">
        <v>357</v>
      </c>
      <c r="H89" s="4" t="s">
        <v>358</v>
      </c>
      <c r="I89" s="4" t="s">
        <v>16</v>
      </c>
      <c r="J89" s="4"/>
      <c r="K89" s="4"/>
      <c r="L89" s="4"/>
      <c r="M89" s="4" t="s">
        <v>20</v>
      </c>
    </row>
    <row r="90" spans="1:13" ht="28">
      <c r="A90" s="4">
        <v>42</v>
      </c>
      <c r="B90" s="4" t="s">
        <v>359</v>
      </c>
      <c r="C90" s="4" t="s">
        <v>65</v>
      </c>
      <c r="D90" s="4" t="s">
        <v>360</v>
      </c>
      <c r="E90" s="4" t="s">
        <v>361</v>
      </c>
      <c r="F90" s="4" t="s">
        <v>206</v>
      </c>
      <c r="G90" s="4" t="s">
        <v>349</v>
      </c>
      <c r="H90" s="4" t="s">
        <v>362</v>
      </c>
      <c r="I90" s="4" t="s">
        <v>16</v>
      </c>
      <c r="J90" s="4"/>
      <c r="K90" s="4"/>
      <c r="L90" s="4"/>
      <c r="M90" s="4" t="s">
        <v>20</v>
      </c>
    </row>
    <row r="91" spans="1:13">
      <c r="A91" s="4">
        <v>43</v>
      </c>
      <c r="B91" s="4" t="s">
        <v>362</v>
      </c>
      <c r="C91" s="4" t="s">
        <v>65</v>
      </c>
      <c r="D91" s="4" t="s">
        <v>363</v>
      </c>
      <c r="E91" s="4" t="s">
        <v>364</v>
      </c>
      <c r="F91" s="4" t="s">
        <v>248</v>
      </c>
      <c r="G91" s="4" t="s">
        <v>365</v>
      </c>
      <c r="H91" s="4" t="s">
        <v>366</v>
      </c>
      <c r="I91" s="4" t="s">
        <v>16</v>
      </c>
      <c r="J91" s="4"/>
      <c r="K91" s="4"/>
      <c r="L91" s="4"/>
      <c r="M91" s="4" t="s">
        <v>20</v>
      </c>
    </row>
    <row r="92" spans="1:13">
      <c r="A92" s="4">
        <v>44</v>
      </c>
      <c r="B92" s="4" t="s">
        <v>366</v>
      </c>
      <c r="C92" s="4" t="s">
        <v>65</v>
      </c>
      <c r="D92" s="4" t="s">
        <v>367</v>
      </c>
      <c r="E92" s="4" t="s">
        <v>256</v>
      </c>
      <c r="F92" s="4" t="s">
        <v>257</v>
      </c>
      <c r="G92" s="4" t="s">
        <v>368</v>
      </c>
      <c r="H92" s="4" t="s">
        <v>358</v>
      </c>
      <c r="I92" s="4" t="s">
        <v>16</v>
      </c>
      <c r="J92" s="4"/>
      <c r="K92" s="4"/>
      <c r="L92" s="4"/>
      <c r="M92" s="4" t="s">
        <v>20</v>
      </c>
    </row>
    <row r="93" spans="1:13" ht="28">
      <c r="A93" s="4">
        <v>45</v>
      </c>
      <c r="B93" s="4" t="s">
        <v>358</v>
      </c>
      <c r="C93" s="4" t="s">
        <v>65</v>
      </c>
      <c r="D93" s="4" t="s">
        <v>259</v>
      </c>
      <c r="E93" s="4" t="s">
        <v>369</v>
      </c>
      <c r="F93" s="4" t="s">
        <v>226</v>
      </c>
      <c r="G93" s="4" t="s">
        <v>370</v>
      </c>
      <c r="H93" s="4" t="s">
        <v>371</v>
      </c>
      <c r="I93" s="4" t="s">
        <v>16</v>
      </c>
      <c r="J93" s="4"/>
      <c r="K93" s="4"/>
      <c r="L93" s="4"/>
      <c r="M93" s="4" t="s">
        <v>20</v>
      </c>
    </row>
    <row r="94" spans="1:13" ht="28">
      <c r="A94" s="4">
        <v>46</v>
      </c>
      <c r="B94" s="4" t="s">
        <v>371</v>
      </c>
      <c r="C94" s="4" t="s">
        <v>65</v>
      </c>
      <c r="D94" s="4" t="s">
        <v>263</v>
      </c>
      <c r="E94" s="4" t="s">
        <v>372</v>
      </c>
      <c r="F94" s="4" t="s">
        <v>239</v>
      </c>
      <c r="G94" s="4" t="s">
        <v>358</v>
      </c>
      <c r="H94" s="4" t="s">
        <v>373</v>
      </c>
      <c r="I94" s="4" t="s">
        <v>16</v>
      </c>
      <c r="J94" s="4"/>
      <c r="K94" s="4"/>
      <c r="L94" s="4"/>
      <c r="M94" s="4" t="s">
        <v>20</v>
      </c>
    </row>
    <row r="95" spans="1:13">
      <c r="A95" s="4">
        <v>47</v>
      </c>
      <c r="B95" s="4" t="s">
        <v>374</v>
      </c>
      <c r="C95" s="4" t="s">
        <v>65</v>
      </c>
      <c r="D95" s="4" t="s">
        <v>375</v>
      </c>
      <c r="E95" s="4" t="s">
        <v>376</v>
      </c>
      <c r="F95" s="4" t="s">
        <v>239</v>
      </c>
      <c r="G95" s="4" t="s">
        <v>377</v>
      </c>
      <c r="H95" s="4" t="s">
        <v>378</v>
      </c>
      <c r="I95" s="4" t="s">
        <v>16</v>
      </c>
      <c r="J95" s="4"/>
      <c r="K95" s="4"/>
      <c r="L95" s="4"/>
      <c r="M95" s="4" t="s">
        <v>20</v>
      </c>
    </row>
    <row r="96" spans="1:13">
      <c r="A96" s="4">
        <v>48</v>
      </c>
      <c r="B96" s="4" t="s">
        <v>379</v>
      </c>
      <c r="C96" s="4" t="s">
        <v>65</v>
      </c>
      <c r="D96" s="4" t="s">
        <v>380</v>
      </c>
      <c r="E96" s="4" t="s">
        <v>381</v>
      </c>
      <c r="F96" s="4" t="s">
        <v>274</v>
      </c>
      <c r="G96" s="4" t="s">
        <v>382</v>
      </c>
      <c r="H96" s="4" t="s">
        <v>383</v>
      </c>
      <c r="I96" s="4" t="s">
        <v>16</v>
      </c>
      <c r="J96" s="4"/>
      <c r="K96" s="4"/>
      <c r="L96" s="4"/>
      <c r="M96" s="4" t="s">
        <v>20</v>
      </c>
    </row>
    <row r="97" spans="1:13">
      <c r="A97" s="4">
        <v>49</v>
      </c>
      <c r="B97" s="4" t="s">
        <v>384</v>
      </c>
      <c r="C97" s="4" t="s">
        <v>65</v>
      </c>
      <c r="D97" s="4" t="s">
        <v>278</v>
      </c>
      <c r="E97" s="4" t="s">
        <v>385</v>
      </c>
      <c r="F97" s="4" t="s">
        <v>274</v>
      </c>
      <c r="G97" s="4" t="s">
        <v>379</v>
      </c>
      <c r="H97" s="4" t="s">
        <v>386</v>
      </c>
      <c r="I97" s="4" t="s">
        <v>16</v>
      </c>
      <c r="J97" s="4"/>
      <c r="K97" s="4"/>
      <c r="L97" s="4"/>
      <c r="M97" s="4" t="s">
        <v>20</v>
      </c>
    </row>
    <row r="98" spans="1:13">
      <c r="A98" s="4">
        <v>50</v>
      </c>
      <c r="B98" s="4" t="s">
        <v>386</v>
      </c>
      <c r="C98" s="4" t="s">
        <v>65</v>
      </c>
      <c r="D98" s="4" t="s">
        <v>281</v>
      </c>
      <c r="E98" s="4" t="s">
        <v>387</v>
      </c>
      <c r="F98" s="4" t="s">
        <v>283</v>
      </c>
      <c r="G98" s="4" t="s">
        <v>384</v>
      </c>
      <c r="H98" s="4" t="s">
        <v>388</v>
      </c>
      <c r="I98" s="4" t="s">
        <v>16</v>
      </c>
      <c r="J98" s="4"/>
      <c r="K98" s="4"/>
      <c r="L98" s="4"/>
      <c r="M98" s="4" t="s">
        <v>20</v>
      </c>
    </row>
    <row r="99" spans="1:13">
      <c r="A99" s="4">
        <v>51</v>
      </c>
      <c r="B99" s="4" t="s">
        <v>389</v>
      </c>
      <c r="C99" s="4" t="s">
        <v>65</v>
      </c>
      <c r="D99" s="4" t="s">
        <v>286</v>
      </c>
      <c r="E99" s="4" t="s">
        <v>390</v>
      </c>
      <c r="F99" s="4" t="s">
        <v>206</v>
      </c>
      <c r="G99" s="4" t="s">
        <v>373</v>
      </c>
      <c r="H99" s="4" t="s">
        <v>391</v>
      </c>
      <c r="I99" s="4" t="s">
        <v>16</v>
      </c>
      <c r="J99" s="4"/>
      <c r="K99" s="4"/>
      <c r="L99" s="4"/>
      <c r="M99" s="4" t="s">
        <v>20</v>
      </c>
    </row>
    <row r="100" spans="1:13">
      <c r="A100" s="4">
        <v>52</v>
      </c>
      <c r="B100" s="4" t="s">
        <v>391</v>
      </c>
      <c r="C100" s="4" t="s">
        <v>65</v>
      </c>
      <c r="D100" s="4" t="s">
        <v>289</v>
      </c>
      <c r="E100" s="4" t="s">
        <v>392</v>
      </c>
      <c r="F100" s="4" t="s">
        <v>239</v>
      </c>
      <c r="G100" s="4" t="s">
        <v>389</v>
      </c>
      <c r="H100" s="4" t="s">
        <v>393</v>
      </c>
      <c r="I100" s="4" t="s">
        <v>16</v>
      </c>
      <c r="J100" s="4"/>
      <c r="K100" s="4"/>
      <c r="L100" s="4"/>
      <c r="M100" s="4" t="s">
        <v>20</v>
      </c>
    </row>
    <row r="101" spans="1:13" ht="28">
      <c r="A101" s="4">
        <v>53</v>
      </c>
      <c r="B101" s="4" t="s">
        <v>393</v>
      </c>
      <c r="C101" s="4" t="s">
        <v>65</v>
      </c>
      <c r="D101" s="4" t="s">
        <v>292</v>
      </c>
      <c r="E101" s="4" t="s">
        <v>394</v>
      </c>
      <c r="F101" s="4" t="s">
        <v>206</v>
      </c>
      <c r="G101" s="4" t="s">
        <v>391</v>
      </c>
      <c r="H101" s="4" t="s">
        <v>395</v>
      </c>
      <c r="I101" s="4" t="s">
        <v>16</v>
      </c>
      <c r="J101" s="4"/>
      <c r="K101" s="4"/>
      <c r="L101" s="4"/>
      <c r="M101" s="4" t="s">
        <v>20</v>
      </c>
    </row>
    <row r="102" spans="1:13" ht="28">
      <c r="A102" s="4">
        <v>54</v>
      </c>
      <c r="B102" s="4" t="s">
        <v>395</v>
      </c>
      <c r="C102" s="4" t="s">
        <v>65</v>
      </c>
      <c r="D102" s="4" t="s">
        <v>295</v>
      </c>
      <c r="E102" s="4" t="s">
        <v>396</v>
      </c>
      <c r="F102" s="4" t="s">
        <v>297</v>
      </c>
      <c r="G102" s="4" t="s">
        <v>397</v>
      </c>
      <c r="H102" s="4" t="s">
        <v>398</v>
      </c>
      <c r="I102" s="4" t="s">
        <v>16</v>
      </c>
      <c r="J102" s="4"/>
      <c r="K102" s="4"/>
      <c r="L102" s="4"/>
      <c r="M102" s="4" t="s">
        <v>20</v>
      </c>
    </row>
    <row r="103" spans="1:13">
      <c r="A103" s="4">
        <v>55</v>
      </c>
      <c r="B103" s="4" t="s">
        <v>398</v>
      </c>
      <c r="C103" s="4" t="s">
        <v>65</v>
      </c>
      <c r="D103" s="4" t="s">
        <v>399</v>
      </c>
      <c r="E103" s="4" t="s">
        <v>400</v>
      </c>
      <c r="F103" s="4" t="s">
        <v>297</v>
      </c>
      <c r="G103" s="4" t="s">
        <v>395</v>
      </c>
      <c r="H103" s="4" t="s">
        <v>401</v>
      </c>
      <c r="I103" s="4" t="s">
        <v>16</v>
      </c>
      <c r="J103" s="4"/>
      <c r="K103" s="4"/>
      <c r="L103" s="4"/>
      <c r="M103" s="4" t="s">
        <v>20</v>
      </c>
    </row>
    <row r="104" spans="1:13">
      <c r="A104" s="4">
        <v>56</v>
      </c>
      <c r="B104" s="4" t="s">
        <v>402</v>
      </c>
      <c r="C104" s="4" t="s">
        <v>65</v>
      </c>
      <c r="D104" s="4" t="s">
        <v>403</v>
      </c>
      <c r="E104" s="4" t="s">
        <v>404</v>
      </c>
      <c r="F104" s="4" t="s">
        <v>302</v>
      </c>
      <c r="G104" s="4" t="s">
        <v>398</v>
      </c>
      <c r="H104" s="4" t="s">
        <v>405</v>
      </c>
      <c r="I104" s="4" t="s">
        <v>16</v>
      </c>
      <c r="J104" s="4"/>
      <c r="K104" s="4"/>
      <c r="L104" s="4"/>
      <c r="M104" s="4" t="s">
        <v>20</v>
      </c>
    </row>
    <row r="105" spans="1:13">
      <c r="A105" s="4">
        <v>57</v>
      </c>
      <c r="B105" s="4" t="s">
        <v>406</v>
      </c>
      <c r="C105" s="4" t="s">
        <v>73</v>
      </c>
      <c r="D105" s="4" t="s">
        <v>407</v>
      </c>
      <c r="E105" s="4" t="s">
        <v>408</v>
      </c>
      <c r="F105" s="4" t="s">
        <v>206</v>
      </c>
      <c r="G105" s="4" t="s">
        <v>402</v>
      </c>
      <c r="H105" s="4" t="s">
        <v>409</v>
      </c>
      <c r="I105" s="4" t="s">
        <v>16</v>
      </c>
      <c r="J105" s="4"/>
      <c r="K105" s="4"/>
      <c r="L105" s="4"/>
      <c r="M105" s="4" t="s">
        <v>20</v>
      </c>
    </row>
    <row r="106" spans="1:13">
      <c r="A106" s="4">
        <v>58</v>
      </c>
      <c r="B106" s="4" t="s">
        <v>410</v>
      </c>
      <c r="C106" s="4" t="s">
        <v>73</v>
      </c>
      <c r="D106" s="4" t="s">
        <v>411</v>
      </c>
      <c r="E106" s="4" t="s">
        <v>412</v>
      </c>
      <c r="F106" s="4" t="s">
        <v>413</v>
      </c>
      <c r="G106" s="4" t="s">
        <v>398</v>
      </c>
      <c r="H106" s="4" t="s">
        <v>414</v>
      </c>
      <c r="I106" s="4" t="s">
        <v>16</v>
      </c>
      <c r="J106" s="4"/>
      <c r="K106" s="4"/>
      <c r="L106" s="4"/>
      <c r="M106" s="4" t="s">
        <v>20</v>
      </c>
    </row>
    <row r="107" spans="1:13">
      <c r="A107" s="4">
        <v>59</v>
      </c>
      <c r="B107" s="4" t="s">
        <v>415</v>
      </c>
      <c r="C107" s="4" t="s">
        <v>73</v>
      </c>
      <c r="D107" s="4" t="s">
        <v>416</v>
      </c>
      <c r="E107" s="4" t="s">
        <v>417</v>
      </c>
      <c r="F107" s="4" t="s">
        <v>178</v>
      </c>
      <c r="G107" s="4" t="s">
        <v>406</v>
      </c>
      <c r="H107" s="4" t="s">
        <v>414</v>
      </c>
      <c r="I107" s="4" t="s">
        <v>16</v>
      </c>
      <c r="J107" s="4"/>
      <c r="K107" s="4"/>
      <c r="L107" s="4"/>
      <c r="M107" s="4" t="s">
        <v>20</v>
      </c>
    </row>
    <row r="108" spans="1:13">
      <c r="A108" s="4">
        <v>60</v>
      </c>
      <c r="B108" s="4" t="s">
        <v>418</v>
      </c>
      <c r="C108" s="4" t="s">
        <v>73</v>
      </c>
      <c r="D108" s="4" t="s">
        <v>419</v>
      </c>
      <c r="E108" s="4" t="s">
        <v>420</v>
      </c>
      <c r="F108" s="4" t="s">
        <v>421</v>
      </c>
      <c r="G108" s="4" t="s">
        <v>422</v>
      </c>
      <c r="H108" s="4" t="s">
        <v>414</v>
      </c>
      <c r="I108" s="4" t="s">
        <v>16</v>
      </c>
      <c r="J108" s="4"/>
      <c r="K108" s="4"/>
      <c r="L108" s="4"/>
      <c r="M108" s="4" t="s">
        <v>20</v>
      </c>
    </row>
    <row r="109" spans="1:13">
      <c r="A109" s="4">
        <v>61</v>
      </c>
      <c r="B109" s="4" t="s">
        <v>423</v>
      </c>
      <c r="C109" s="4" t="s">
        <v>73</v>
      </c>
      <c r="D109" s="4" t="s">
        <v>424</v>
      </c>
      <c r="E109" s="4" t="s">
        <v>424</v>
      </c>
      <c r="F109" s="4" t="s">
        <v>425</v>
      </c>
      <c r="G109" s="4" t="s">
        <v>426</v>
      </c>
      <c r="H109" s="4" t="s">
        <v>414</v>
      </c>
      <c r="I109" s="4" t="s">
        <v>16</v>
      </c>
      <c r="J109" s="4"/>
      <c r="K109" s="4"/>
      <c r="L109" s="4"/>
      <c r="M109" s="4" t="s">
        <v>20</v>
      </c>
    </row>
    <row r="110" spans="1:13">
      <c r="A110" s="4">
        <v>62</v>
      </c>
      <c r="B110" s="4" t="s">
        <v>427</v>
      </c>
      <c r="C110" s="4" t="s">
        <v>73</v>
      </c>
      <c r="D110" s="4" t="s">
        <v>428</v>
      </c>
      <c r="E110" s="4" t="s">
        <v>429</v>
      </c>
      <c r="F110" s="4" t="s">
        <v>430</v>
      </c>
      <c r="G110" s="4" t="s">
        <v>426</v>
      </c>
      <c r="H110" s="4" t="s">
        <v>414</v>
      </c>
      <c r="I110" s="4" t="s">
        <v>16</v>
      </c>
      <c r="J110" s="4"/>
      <c r="K110" s="4"/>
      <c r="L110" s="4"/>
      <c r="M110" s="4" t="s">
        <v>20</v>
      </c>
    </row>
    <row r="111" spans="1:13">
      <c r="A111" s="4">
        <v>63</v>
      </c>
      <c r="B111" s="4" t="s">
        <v>414</v>
      </c>
      <c r="C111" s="4" t="s">
        <v>73</v>
      </c>
      <c r="D111" s="4" t="s">
        <v>431</v>
      </c>
      <c r="E111" s="4" t="s">
        <v>431</v>
      </c>
      <c r="F111" s="4" t="s">
        <v>432</v>
      </c>
      <c r="G111" s="4" t="s">
        <v>433</v>
      </c>
      <c r="H111" s="4"/>
      <c r="I111" s="4" t="s">
        <v>16</v>
      </c>
      <c r="J111" s="4"/>
      <c r="K111" s="4"/>
      <c r="L111" s="4"/>
      <c r="M111" s="4" t="s">
        <v>20</v>
      </c>
    </row>
    <row r="113" spans="1:13">
      <c r="A113" s="6" t="s">
        <v>524</v>
      </c>
      <c r="B113" s="6"/>
      <c r="C113" s="6"/>
      <c r="D113" s="6"/>
      <c r="E113" s="6"/>
      <c r="F113" s="6"/>
      <c r="G113" s="6"/>
      <c r="H113" s="6"/>
      <c r="I113" s="6"/>
      <c r="J113" s="6"/>
    </row>
    <row r="114" spans="1:13">
      <c r="A114" s="1" t="s">
        <v>525</v>
      </c>
      <c r="B114" s="1" t="s">
        <v>526</v>
      </c>
      <c r="C114" s="1" t="s">
        <v>459</v>
      </c>
      <c r="D114" s="1" t="s">
        <v>3</v>
      </c>
      <c r="E114" s="1" t="s">
        <v>4</v>
      </c>
      <c r="F114" s="1" t="s">
        <v>511</v>
      </c>
      <c r="G114" s="1" t="s">
        <v>527</v>
      </c>
      <c r="H114" s="1" t="s">
        <v>528</v>
      </c>
      <c r="I114" s="1" t="s">
        <v>529</v>
      </c>
      <c r="J114" s="1" t="s">
        <v>530</v>
      </c>
      <c r="K114" s="1" t="s">
        <v>440</v>
      </c>
    </row>
    <row r="115" spans="1:13">
      <c r="A115" t="s">
        <v>620</v>
      </c>
      <c r="B115" t="s">
        <v>621</v>
      </c>
      <c r="C115" t="s">
        <v>622</v>
      </c>
      <c r="D115" t="s">
        <v>60</v>
      </c>
      <c r="E115" t="s">
        <v>29</v>
      </c>
      <c r="F115" t="s">
        <v>152</v>
      </c>
      <c r="G115" t="s">
        <v>623</v>
      </c>
      <c r="H115" t="s">
        <v>624</v>
      </c>
      <c r="I115" t="s">
        <v>22</v>
      </c>
      <c r="J115" t="s">
        <v>501</v>
      </c>
      <c r="K115" t="s">
        <v>20</v>
      </c>
    </row>
    <row r="116" spans="1:13">
      <c r="A116" t="s">
        <v>625</v>
      </c>
      <c r="B116" t="s">
        <v>626</v>
      </c>
      <c r="C116" t="s">
        <v>627</v>
      </c>
      <c r="D116" t="s">
        <v>50</v>
      </c>
      <c r="E116" t="s">
        <v>29</v>
      </c>
      <c r="F116" t="s">
        <v>152</v>
      </c>
      <c r="G116" t="s">
        <v>628</v>
      </c>
      <c r="H116" t="s">
        <v>629</v>
      </c>
      <c r="I116" t="s">
        <v>22</v>
      </c>
      <c r="J116" t="s">
        <v>501</v>
      </c>
      <c r="K116" t="s">
        <v>20</v>
      </c>
    </row>
    <row r="117" spans="1:13">
      <c r="A117" t="s">
        <v>630</v>
      </c>
      <c r="B117" t="s">
        <v>631</v>
      </c>
      <c r="C117" t="s">
        <v>248</v>
      </c>
      <c r="D117" t="s">
        <v>67</v>
      </c>
      <c r="E117" t="s">
        <v>29</v>
      </c>
      <c r="F117" t="s">
        <v>152</v>
      </c>
      <c r="G117" t="s">
        <v>632</v>
      </c>
      <c r="H117" t="s">
        <v>633</v>
      </c>
      <c r="I117" t="s">
        <v>45</v>
      </c>
      <c r="J117" t="s">
        <v>136</v>
      </c>
      <c r="K117" t="s">
        <v>20</v>
      </c>
    </row>
    <row r="118" spans="1:13">
      <c r="A118" t="s">
        <v>634</v>
      </c>
      <c r="B118" t="s">
        <v>635</v>
      </c>
      <c r="C118" t="s">
        <v>206</v>
      </c>
      <c r="D118" t="s">
        <v>16</v>
      </c>
      <c r="E118" t="s">
        <v>17</v>
      </c>
      <c r="F118" t="s">
        <v>636</v>
      </c>
      <c r="G118" t="s">
        <v>637</v>
      </c>
      <c r="H118" t="s">
        <v>638</v>
      </c>
      <c r="I118" t="s">
        <v>603</v>
      </c>
      <c r="J118" t="s">
        <v>501</v>
      </c>
      <c r="K118" t="s">
        <v>20</v>
      </c>
    </row>
    <row r="120" spans="1:13">
      <c r="A120" s="6" t="s">
        <v>546</v>
      </c>
      <c r="B120" s="6"/>
      <c r="C120" s="6"/>
      <c r="D120" s="6"/>
      <c r="E120" s="6"/>
      <c r="F120" s="6"/>
      <c r="G120" s="6"/>
      <c r="H120" s="6"/>
      <c r="I120" s="6"/>
      <c r="J120" s="6"/>
    </row>
    <row r="121" spans="1:13">
      <c r="A121" s="1" t="s">
        <v>547</v>
      </c>
      <c r="B121" s="1" t="s">
        <v>472</v>
      </c>
      <c r="C121" s="1" t="s">
        <v>548</v>
      </c>
      <c r="D121" s="1" t="s">
        <v>474</v>
      </c>
      <c r="E121" s="1" t="s">
        <v>523</v>
      </c>
      <c r="F121" s="1" t="s">
        <v>511</v>
      </c>
      <c r="G121" s="1" t="s">
        <v>3</v>
      </c>
      <c r="H121" s="1" t="s">
        <v>549</v>
      </c>
      <c r="I121" s="1" t="s">
        <v>550</v>
      </c>
      <c r="J121" s="1" t="s">
        <v>551</v>
      </c>
      <c r="K121" s="1" t="s">
        <v>9</v>
      </c>
      <c r="L121" s="1" t="s">
        <v>552</v>
      </c>
      <c r="M121" s="1" t="s">
        <v>440</v>
      </c>
    </row>
    <row r="122" spans="1:13">
      <c r="A122" t="s">
        <v>639</v>
      </c>
      <c r="B122" t="s">
        <v>501</v>
      </c>
      <c r="C122" t="s">
        <v>640</v>
      </c>
      <c r="D122" t="s">
        <v>641</v>
      </c>
      <c r="E122" t="s">
        <v>642</v>
      </c>
      <c r="F122" t="s">
        <v>152</v>
      </c>
      <c r="G122" t="s">
        <v>50</v>
      </c>
      <c r="H122" t="s">
        <v>643</v>
      </c>
      <c r="I122" t="s">
        <v>620</v>
      </c>
      <c r="J122" t="s">
        <v>621</v>
      </c>
      <c r="K122" t="s">
        <v>22</v>
      </c>
      <c r="M122" t="s">
        <v>20</v>
      </c>
    </row>
    <row r="123" spans="1:13">
      <c r="A123" t="s">
        <v>644</v>
      </c>
      <c r="B123" t="s">
        <v>501</v>
      </c>
      <c r="C123" t="s">
        <v>645</v>
      </c>
      <c r="D123" t="s">
        <v>641</v>
      </c>
      <c r="E123" t="s">
        <v>646</v>
      </c>
      <c r="F123" t="s">
        <v>152</v>
      </c>
      <c r="G123" t="s">
        <v>60</v>
      </c>
      <c r="H123" t="s">
        <v>647</v>
      </c>
      <c r="I123" t="s">
        <v>620</v>
      </c>
      <c r="J123" t="s">
        <v>621</v>
      </c>
      <c r="K123" t="s">
        <v>22</v>
      </c>
      <c r="M123" t="s">
        <v>20</v>
      </c>
    </row>
    <row r="124" spans="1:13">
      <c r="A124" t="s">
        <v>648</v>
      </c>
      <c r="B124" t="s">
        <v>501</v>
      </c>
      <c r="C124" t="s">
        <v>649</v>
      </c>
      <c r="D124" t="s">
        <v>206</v>
      </c>
      <c r="E124" t="s">
        <v>157</v>
      </c>
      <c r="F124" t="s">
        <v>181</v>
      </c>
      <c r="G124" t="s">
        <v>84</v>
      </c>
      <c r="H124" t="s">
        <v>650</v>
      </c>
      <c r="I124" t="s">
        <v>630</v>
      </c>
      <c r="J124" t="s">
        <v>631</v>
      </c>
      <c r="K124" t="s">
        <v>22</v>
      </c>
      <c r="M124" t="s">
        <v>20</v>
      </c>
    </row>
    <row r="126" spans="1:13">
      <c r="A126" s="6" t="s">
        <v>560</v>
      </c>
      <c r="B126" s="6"/>
      <c r="C126" s="6"/>
      <c r="D126" s="6"/>
      <c r="E126" s="6"/>
      <c r="F126" s="6"/>
      <c r="G126" s="6"/>
      <c r="H126" s="6"/>
      <c r="I126" s="6"/>
      <c r="J126" s="6"/>
    </row>
    <row r="127" spans="1:13">
      <c r="A127" s="1" t="s">
        <v>561</v>
      </c>
      <c r="B127" s="1" t="s">
        <v>13</v>
      </c>
      <c r="C127" s="1" t="s">
        <v>459</v>
      </c>
      <c r="D127" s="1" t="s">
        <v>511</v>
      </c>
      <c r="E127" s="1" t="s">
        <v>3</v>
      </c>
      <c r="F127" s="1" t="s">
        <v>461</v>
      </c>
      <c r="G127" s="1" t="s">
        <v>440</v>
      </c>
    </row>
    <row r="128" spans="1:13">
      <c r="A128" t="s">
        <v>651</v>
      </c>
      <c r="B128" t="s">
        <v>17</v>
      </c>
      <c r="E128" t="s">
        <v>85</v>
      </c>
      <c r="G128" t="s">
        <v>20</v>
      </c>
    </row>
    <row r="129" spans="1:7">
      <c r="A129" t="s">
        <v>652</v>
      </c>
      <c r="B129" t="s">
        <v>17</v>
      </c>
      <c r="E129" t="s">
        <v>85</v>
      </c>
      <c r="G129" t="s">
        <v>20</v>
      </c>
    </row>
  </sheetData>
  <mergeCells count="1">
    <mergeCell ref="A1:J1"/>
  </mergeCells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8"/>
  <sheetViews>
    <sheetView workbookViewId="0">
      <selection sqref="A1:J1"/>
    </sheetView>
  </sheetViews>
  <sheetFormatPr defaultRowHeight="14"/>
  <cols>
    <col min="1" max="1" width="14" customWidth="1"/>
    <col min="2" max="2" width="16" customWidth="1"/>
    <col min="3" max="3" width="28" customWidth="1"/>
    <col min="4" max="4" width="18" customWidth="1"/>
    <col min="5" max="5" width="48" customWidth="1"/>
    <col min="6" max="6" width="28" customWidth="1"/>
    <col min="7" max="8" width="24" customWidth="1"/>
    <col min="9" max="10" width="18" customWidth="1"/>
    <col min="11" max="11" width="16" customWidth="1"/>
    <col min="12" max="12" width="30" customWidth="1"/>
    <col min="13" max="13" width="12" customWidth="1"/>
  </cols>
  <sheetData>
    <row r="1" spans="1:13" ht="18">
      <c r="A1" s="22" t="s">
        <v>653</v>
      </c>
      <c r="B1" s="22"/>
      <c r="C1" s="22"/>
      <c r="D1" s="22"/>
      <c r="E1" s="22"/>
      <c r="F1" s="22"/>
      <c r="G1" s="22"/>
      <c r="H1" s="22"/>
      <c r="I1" s="22"/>
      <c r="J1" s="22"/>
      <c r="K1" s="4"/>
      <c r="L1" s="4"/>
      <c r="M1" s="4"/>
    </row>
    <row r="3" spans="1:13">
      <c r="A3" s="6" t="s">
        <v>492</v>
      </c>
      <c r="B3" s="6"/>
      <c r="C3" s="6"/>
      <c r="D3" s="6"/>
      <c r="E3" s="6"/>
      <c r="F3" s="6"/>
      <c r="G3" s="6"/>
      <c r="H3" s="6"/>
      <c r="I3" s="6"/>
      <c r="J3" s="6"/>
    </row>
    <row r="4" spans="1:13">
      <c r="A4" s="1" t="s">
        <v>493</v>
      </c>
      <c r="B4" s="1" t="s">
        <v>494</v>
      </c>
      <c r="C4" s="1" t="s">
        <v>440</v>
      </c>
      <c r="D4" s="1" t="s">
        <v>461</v>
      </c>
    </row>
    <row r="5" spans="1:13">
      <c r="A5" t="s">
        <v>120</v>
      </c>
      <c r="B5" t="s">
        <v>161</v>
      </c>
      <c r="C5" t="s">
        <v>20</v>
      </c>
    </row>
    <row r="6" spans="1:13">
      <c r="A6" t="s">
        <v>121</v>
      </c>
      <c r="B6" t="s">
        <v>162</v>
      </c>
      <c r="C6" t="s">
        <v>20</v>
      </c>
    </row>
    <row r="7" spans="1:13">
      <c r="A7" t="s">
        <v>122</v>
      </c>
      <c r="B7" t="s">
        <v>163</v>
      </c>
      <c r="C7" t="s">
        <v>20</v>
      </c>
    </row>
    <row r="8" spans="1:13">
      <c r="A8" t="s">
        <v>5</v>
      </c>
      <c r="B8" t="s">
        <v>30</v>
      </c>
      <c r="C8" t="s">
        <v>20</v>
      </c>
    </row>
    <row r="9" spans="1:13">
      <c r="A9" t="s">
        <v>3</v>
      </c>
      <c r="B9" t="s">
        <v>90</v>
      </c>
      <c r="C9" t="s">
        <v>20</v>
      </c>
    </row>
    <row r="10" spans="1:13">
      <c r="A10" t="s">
        <v>4</v>
      </c>
      <c r="B10" t="s">
        <v>29</v>
      </c>
      <c r="C10" t="s">
        <v>20</v>
      </c>
    </row>
    <row r="11" spans="1:13">
      <c r="A11" t="s">
        <v>6</v>
      </c>
      <c r="B11" t="s">
        <v>61</v>
      </c>
      <c r="C11" t="s">
        <v>20</v>
      </c>
    </row>
    <row r="12" spans="1:13">
      <c r="A12" t="s">
        <v>123</v>
      </c>
      <c r="B12" t="s">
        <v>164</v>
      </c>
      <c r="C12" t="s">
        <v>20</v>
      </c>
    </row>
    <row r="13" spans="1:13">
      <c r="A13" t="s">
        <v>124</v>
      </c>
      <c r="B13" t="s">
        <v>165</v>
      </c>
      <c r="C13" t="s">
        <v>20</v>
      </c>
    </row>
    <row r="14" spans="1:13">
      <c r="A14" t="s">
        <v>495</v>
      </c>
      <c r="B14" t="s">
        <v>654</v>
      </c>
      <c r="C14" t="s">
        <v>20</v>
      </c>
    </row>
    <row r="15" spans="1:13">
      <c r="A15" t="s">
        <v>125</v>
      </c>
      <c r="B15" t="s">
        <v>166</v>
      </c>
      <c r="C15" t="s">
        <v>20</v>
      </c>
    </row>
    <row r="16" spans="1:13">
      <c r="A16" t="s">
        <v>126</v>
      </c>
      <c r="B16" t="s">
        <v>167</v>
      </c>
      <c r="C16" t="s">
        <v>20</v>
      </c>
    </row>
    <row r="17" spans="1:10">
      <c r="A17" t="s">
        <v>497</v>
      </c>
      <c r="B17" t="s">
        <v>655</v>
      </c>
      <c r="C17" t="s">
        <v>20</v>
      </c>
    </row>
    <row r="18" spans="1:10">
      <c r="A18" t="s">
        <v>127</v>
      </c>
      <c r="B18" t="s">
        <v>50</v>
      </c>
      <c r="C18" t="s">
        <v>20</v>
      </c>
    </row>
    <row r="19" spans="1:10">
      <c r="A19" t="s">
        <v>128</v>
      </c>
      <c r="B19" t="s">
        <v>20</v>
      </c>
      <c r="C19" t="s">
        <v>20</v>
      </c>
      <c r="D19" t="s">
        <v>499</v>
      </c>
    </row>
    <row r="20" spans="1:10">
      <c r="A20" t="s">
        <v>500</v>
      </c>
      <c r="B20" t="s">
        <v>501</v>
      </c>
      <c r="C20" t="s">
        <v>20</v>
      </c>
    </row>
    <row r="22" spans="1:10">
      <c r="A22" s="6" t="s">
        <v>502</v>
      </c>
      <c r="B22" s="6"/>
      <c r="C22" s="6"/>
      <c r="D22" s="6"/>
      <c r="E22" s="6"/>
      <c r="F22" s="6"/>
      <c r="G22" s="6"/>
      <c r="H22" s="6"/>
      <c r="I22" s="6"/>
      <c r="J22" s="6"/>
    </row>
    <row r="23" spans="1:10">
      <c r="A23" s="1" t="s">
        <v>503</v>
      </c>
      <c r="B23" s="1" t="s">
        <v>3</v>
      </c>
      <c r="C23" s="1" t="s">
        <v>459</v>
      </c>
      <c r="D23" s="1" t="s">
        <v>126</v>
      </c>
      <c r="E23" s="1" t="s">
        <v>461</v>
      </c>
      <c r="F23" s="1" t="s">
        <v>440</v>
      </c>
    </row>
    <row r="24" spans="1:10">
      <c r="A24" t="s">
        <v>504</v>
      </c>
      <c r="F24" t="s">
        <v>20</v>
      </c>
    </row>
    <row r="25" spans="1:10">
      <c r="A25" t="s">
        <v>505</v>
      </c>
      <c r="F25" t="s">
        <v>20</v>
      </c>
    </row>
    <row r="26" spans="1:10">
      <c r="A26" t="s">
        <v>506</v>
      </c>
      <c r="F26" t="s">
        <v>20</v>
      </c>
    </row>
    <row r="27" spans="1:10">
      <c r="A27" t="s">
        <v>507</v>
      </c>
      <c r="F27" t="s">
        <v>20</v>
      </c>
    </row>
    <row r="28" spans="1:10">
      <c r="A28" t="s">
        <v>508</v>
      </c>
      <c r="F28" t="s">
        <v>20</v>
      </c>
    </row>
    <row r="29" spans="1:10">
      <c r="A29" t="s">
        <v>509</v>
      </c>
      <c r="F29" t="s">
        <v>20</v>
      </c>
    </row>
    <row r="31" spans="1:10">
      <c r="A31" s="6" t="s">
        <v>510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s="1" t="s">
        <v>10</v>
      </c>
      <c r="B32" s="1" t="s">
        <v>80</v>
      </c>
      <c r="C32" s="1" t="s">
        <v>3</v>
      </c>
      <c r="D32" s="1" t="s">
        <v>459</v>
      </c>
      <c r="E32" s="1" t="s">
        <v>511</v>
      </c>
      <c r="F32" s="1" t="s">
        <v>461</v>
      </c>
      <c r="G32" s="1" t="s">
        <v>440</v>
      </c>
    </row>
    <row r="33" spans="1:13">
      <c r="A33" t="s">
        <v>23</v>
      </c>
      <c r="B33" t="s">
        <v>32</v>
      </c>
      <c r="C33" t="s">
        <v>16</v>
      </c>
      <c r="G33" t="s">
        <v>20</v>
      </c>
    </row>
    <row r="34" spans="1:13">
      <c r="A34" t="s">
        <v>35</v>
      </c>
      <c r="B34" t="s">
        <v>32</v>
      </c>
      <c r="C34" t="s">
        <v>16</v>
      </c>
      <c r="G34" t="s">
        <v>20</v>
      </c>
    </row>
    <row r="35" spans="1:13">
      <c r="A35" t="s">
        <v>46</v>
      </c>
      <c r="B35" t="s">
        <v>32</v>
      </c>
      <c r="C35" t="s">
        <v>16</v>
      </c>
      <c r="G35" t="s">
        <v>20</v>
      </c>
    </row>
    <row r="36" spans="1:13">
      <c r="A36" t="s">
        <v>56</v>
      </c>
      <c r="B36" t="s">
        <v>32</v>
      </c>
      <c r="C36" t="s">
        <v>16</v>
      </c>
      <c r="G36" t="s">
        <v>20</v>
      </c>
    </row>
    <row r="37" spans="1:13">
      <c r="A37" t="s">
        <v>36</v>
      </c>
      <c r="B37" t="s">
        <v>32</v>
      </c>
      <c r="C37" t="s">
        <v>16</v>
      </c>
      <c r="G37" t="s">
        <v>20</v>
      </c>
    </row>
    <row r="38" spans="1:13">
      <c r="A38" t="s">
        <v>71</v>
      </c>
      <c r="B38" t="s">
        <v>32</v>
      </c>
      <c r="C38" t="s">
        <v>16</v>
      </c>
      <c r="G38" t="s">
        <v>20</v>
      </c>
    </row>
    <row r="40" spans="1:13">
      <c r="A40" s="6" t="s">
        <v>512</v>
      </c>
      <c r="B40" s="6"/>
      <c r="C40" s="6"/>
      <c r="D40" s="6"/>
      <c r="E40" s="6"/>
      <c r="F40" s="6"/>
      <c r="G40" s="6"/>
      <c r="H40" s="6"/>
      <c r="I40" s="6"/>
      <c r="J40" s="6"/>
    </row>
    <row r="41" spans="1:13">
      <c r="A41" s="1" t="s">
        <v>513</v>
      </c>
      <c r="B41" s="1" t="s">
        <v>514</v>
      </c>
      <c r="C41" s="1" t="s">
        <v>515</v>
      </c>
      <c r="D41" s="1" t="s">
        <v>3</v>
      </c>
      <c r="E41" s="1" t="s">
        <v>459</v>
      </c>
      <c r="F41" s="1" t="s">
        <v>126</v>
      </c>
      <c r="G41" s="1" t="s">
        <v>461</v>
      </c>
      <c r="H41" s="1" t="s">
        <v>440</v>
      </c>
    </row>
    <row r="42" spans="1:13">
      <c r="A42" t="s">
        <v>516</v>
      </c>
      <c r="B42">
        <v>0</v>
      </c>
      <c r="C42">
        <v>0</v>
      </c>
      <c r="D42" t="s">
        <v>16</v>
      </c>
      <c r="H42" t="s">
        <v>20</v>
      </c>
    </row>
    <row r="43" spans="1:13">
      <c r="A43" t="s">
        <v>517</v>
      </c>
      <c r="B43">
        <v>0</v>
      </c>
      <c r="C43">
        <v>0</v>
      </c>
      <c r="D43" t="s">
        <v>16</v>
      </c>
      <c r="H43" t="s">
        <v>20</v>
      </c>
    </row>
    <row r="44" spans="1:13">
      <c r="A44" t="s">
        <v>518</v>
      </c>
      <c r="B44">
        <v>0</v>
      </c>
      <c r="C44">
        <v>0</v>
      </c>
      <c r="D44" t="s">
        <v>16</v>
      </c>
      <c r="H44" t="s">
        <v>20</v>
      </c>
    </row>
    <row r="45" spans="1:13">
      <c r="A45" t="s">
        <v>519</v>
      </c>
      <c r="B45">
        <v>0</v>
      </c>
      <c r="C45">
        <v>0</v>
      </c>
      <c r="D45" t="s">
        <v>16</v>
      </c>
      <c r="H45" t="s">
        <v>20</v>
      </c>
    </row>
    <row r="47" spans="1:13">
      <c r="A47" s="6" t="s">
        <v>520</v>
      </c>
      <c r="B47" s="6"/>
      <c r="C47" s="6"/>
      <c r="D47" s="6"/>
      <c r="E47" s="6"/>
      <c r="F47" s="6"/>
      <c r="G47" s="6"/>
      <c r="H47" s="6"/>
      <c r="I47" s="6"/>
      <c r="J47" s="6"/>
    </row>
    <row r="48" spans="1:13">
      <c r="A48" s="7" t="s">
        <v>521</v>
      </c>
      <c r="B48" s="7" t="s">
        <v>190</v>
      </c>
      <c r="C48" s="7" t="s">
        <v>192</v>
      </c>
      <c r="D48" s="7" t="s">
        <v>121</v>
      </c>
      <c r="E48" s="7" t="s">
        <v>522</v>
      </c>
      <c r="F48" s="7" t="s">
        <v>523</v>
      </c>
      <c r="G48" s="7" t="s">
        <v>195</v>
      </c>
      <c r="H48" s="7" t="s">
        <v>196</v>
      </c>
      <c r="I48" s="7" t="s">
        <v>3</v>
      </c>
      <c r="J48" s="7" t="s">
        <v>459</v>
      </c>
      <c r="K48" s="11" t="s">
        <v>511</v>
      </c>
      <c r="L48" s="11" t="s">
        <v>461</v>
      </c>
      <c r="M48" s="11" t="s">
        <v>440</v>
      </c>
    </row>
    <row r="49" spans="1:13">
      <c r="A49" s="4">
        <v>1</v>
      </c>
      <c r="B49" s="4" t="s">
        <v>200</v>
      </c>
      <c r="C49" s="4" t="s">
        <v>25</v>
      </c>
      <c r="D49" s="4" t="s">
        <v>201</v>
      </c>
      <c r="E49" s="4" t="s">
        <v>202</v>
      </c>
      <c r="F49" s="4" t="s">
        <v>178</v>
      </c>
      <c r="G49" s="4"/>
      <c r="H49" s="4" t="s">
        <v>203</v>
      </c>
      <c r="I49" s="4" t="s">
        <v>26</v>
      </c>
      <c r="J49" s="4"/>
      <c r="K49" s="4"/>
      <c r="L49" s="4"/>
      <c r="M49" s="4" t="s">
        <v>20</v>
      </c>
    </row>
    <row r="50" spans="1:13">
      <c r="A50" s="4">
        <v>2</v>
      </c>
      <c r="B50" s="4" t="s">
        <v>203</v>
      </c>
      <c r="C50" s="4" t="s">
        <v>25</v>
      </c>
      <c r="D50" s="4" t="s">
        <v>204</v>
      </c>
      <c r="E50" s="4" t="s">
        <v>205</v>
      </c>
      <c r="F50" s="4" t="s">
        <v>206</v>
      </c>
      <c r="G50" s="4" t="s">
        <v>200</v>
      </c>
      <c r="H50" s="4" t="s">
        <v>207</v>
      </c>
      <c r="I50" s="4" t="s">
        <v>26</v>
      </c>
      <c r="J50" s="4"/>
      <c r="K50" s="4"/>
      <c r="L50" s="4"/>
      <c r="M50" s="4" t="s">
        <v>20</v>
      </c>
    </row>
    <row r="51" spans="1:13">
      <c r="A51" s="4">
        <v>3</v>
      </c>
      <c r="B51" s="4" t="s">
        <v>207</v>
      </c>
      <c r="C51" s="4" t="s">
        <v>25</v>
      </c>
      <c r="D51" s="4" t="s">
        <v>208</v>
      </c>
      <c r="E51" s="4" t="s">
        <v>209</v>
      </c>
      <c r="F51" s="4" t="s">
        <v>206</v>
      </c>
      <c r="G51" s="4" t="s">
        <v>203</v>
      </c>
      <c r="H51" s="4" t="s">
        <v>210</v>
      </c>
      <c r="I51" s="4" t="s">
        <v>26</v>
      </c>
      <c r="J51" s="4"/>
      <c r="K51" s="4"/>
      <c r="L51" s="4"/>
      <c r="M51" s="4" t="s">
        <v>20</v>
      </c>
    </row>
    <row r="52" spans="1:13">
      <c r="A52" s="4">
        <v>4</v>
      </c>
      <c r="B52" s="4" t="s">
        <v>210</v>
      </c>
      <c r="C52" s="4" t="s">
        <v>25</v>
      </c>
      <c r="D52" s="4" t="s">
        <v>211</v>
      </c>
      <c r="E52" s="4" t="s">
        <v>212</v>
      </c>
      <c r="F52" s="4" t="s">
        <v>178</v>
      </c>
      <c r="G52" s="4" t="s">
        <v>207</v>
      </c>
      <c r="H52" s="4" t="s">
        <v>213</v>
      </c>
      <c r="I52" s="4" t="s">
        <v>16</v>
      </c>
      <c r="J52" s="4"/>
      <c r="K52" s="4"/>
      <c r="L52" s="4"/>
      <c r="M52" s="4" t="s">
        <v>20</v>
      </c>
    </row>
    <row r="53" spans="1:13" ht="28">
      <c r="A53" s="4">
        <v>5</v>
      </c>
      <c r="B53" s="4" t="s">
        <v>214</v>
      </c>
      <c r="C53" s="4" t="s">
        <v>25</v>
      </c>
      <c r="D53" s="4" t="s">
        <v>215</v>
      </c>
      <c r="E53" s="4" t="s">
        <v>216</v>
      </c>
      <c r="F53" s="4" t="s">
        <v>217</v>
      </c>
      <c r="G53" s="4" t="s">
        <v>210</v>
      </c>
      <c r="H53" s="4" t="s">
        <v>218</v>
      </c>
      <c r="I53" s="4" t="s">
        <v>16</v>
      </c>
      <c r="J53" s="4"/>
      <c r="K53" s="4"/>
      <c r="L53" s="4"/>
      <c r="M53" s="4" t="s">
        <v>20</v>
      </c>
    </row>
    <row r="54" spans="1:13">
      <c r="A54" s="4">
        <v>6</v>
      </c>
      <c r="B54" s="4" t="s">
        <v>219</v>
      </c>
      <c r="C54" s="4" t="s">
        <v>25</v>
      </c>
      <c r="D54" s="4" t="s">
        <v>220</v>
      </c>
      <c r="E54" s="4" t="s">
        <v>221</v>
      </c>
      <c r="F54" s="4" t="s">
        <v>217</v>
      </c>
      <c r="G54" s="4" t="s">
        <v>207</v>
      </c>
      <c r="H54" s="4" t="s">
        <v>222</v>
      </c>
      <c r="I54" s="4" t="s">
        <v>16</v>
      </c>
      <c r="J54" s="4"/>
      <c r="K54" s="4"/>
      <c r="L54" s="4"/>
      <c r="M54" s="4" t="s">
        <v>20</v>
      </c>
    </row>
    <row r="55" spans="1:13" ht="28">
      <c r="A55" s="4">
        <v>7</v>
      </c>
      <c r="B55" s="4" t="s">
        <v>223</v>
      </c>
      <c r="C55" s="4" t="s">
        <v>25</v>
      </c>
      <c r="D55" s="4" t="s">
        <v>224</v>
      </c>
      <c r="E55" s="4" t="s">
        <v>225</v>
      </c>
      <c r="F55" s="4" t="s">
        <v>226</v>
      </c>
      <c r="G55" s="4" t="s">
        <v>210</v>
      </c>
      <c r="H55" s="4" t="s">
        <v>227</v>
      </c>
      <c r="I55" s="4" t="s">
        <v>16</v>
      </c>
      <c r="J55" s="4"/>
      <c r="K55" s="4"/>
      <c r="L55" s="4"/>
      <c r="M55" s="4" t="s">
        <v>20</v>
      </c>
    </row>
    <row r="56" spans="1:13">
      <c r="A56" s="4">
        <v>8</v>
      </c>
      <c r="B56" s="4" t="s">
        <v>228</v>
      </c>
      <c r="C56" s="4" t="s">
        <v>25</v>
      </c>
      <c r="D56" s="4" t="s">
        <v>229</v>
      </c>
      <c r="E56" s="4" t="s">
        <v>230</v>
      </c>
      <c r="F56" s="4" t="s">
        <v>231</v>
      </c>
      <c r="G56" s="4" t="s">
        <v>214</v>
      </c>
      <c r="H56" s="4" t="s">
        <v>232</v>
      </c>
      <c r="I56" s="4" t="s">
        <v>16</v>
      </c>
      <c r="J56" s="4"/>
      <c r="K56" s="4"/>
      <c r="L56" s="4"/>
      <c r="M56" s="4" t="s">
        <v>20</v>
      </c>
    </row>
    <row r="57" spans="1:13">
      <c r="A57" s="4">
        <v>9</v>
      </c>
      <c r="B57" s="4" t="s">
        <v>233</v>
      </c>
      <c r="C57" s="4" t="s">
        <v>25</v>
      </c>
      <c r="D57" s="4" t="s">
        <v>234</v>
      </c>
      <c r="E57" s="4" t="s">
        <v>235</v>
      </c>
      <c r="F57" s="4" t="s">
        <v>206</v>
      </c>
      <c r="G57" s="4" t="s">
        <v>214</v>
      </c>
      <c r="H57" s="4" t="s">
        <v>232</v>
      </c>
      <c r="I57" s="4" t="s">
        <v>16</v>
      </c>
      <c r="J57" s="4"/>
      <c r="K57" s="4"/>
      <c r="L57" s="4"/>
      <c r="M57" s="4" t="s">
        <v>20</v>
      </c>
    </row>
    <row r="58" spans="1:13" ht="28">
      <c r="A58" s="4">
        <v>10</v>
      </c>
      <c r="B58" s="4" t="s">
        <v>236</v>
      </c>
      <c r="C58" s="4" t="s">
        <v>37</v>
      </c>
      <c r="D58" s="4" t="s">
        <v>237</v>
      </c>
      <c r="E58" s="4" t="s">
        <v>238</v>
      </c>
      <c r="F58" s="4" t="s">
        <v>239</v>
      </c>
      <c r="G58" s="4" t="s">
        <v>219</v>
      </c>
      <c r="H58" s="4" t="s">
        <v>240</v>
      </c>
      <c r="I58" s="4" t="s">
        <v>16</v>
      </c>
      <c r="J58" s="4"/>
      <c r="K58" s="4"/>
      <c r="L58" s="4"/>
      <c r="M58" s="4" t="s">
        <v>20</v>
      </c>
    </row>
    <row r="59" spans="1:13" ht="28">
      <c r="A59" s="4">
        <v>11</v>
      </c>
      <c r="B59" s="4" t="s">
        <v>241</v>
      </c>
      <c r="C59" s="4" t="s">
        <v>37</v>
      </c>
      <c r="D59" s="4" t="s">
        <v>242</v>
      </c>
      <c r="E59" s="4" t="s">
        <v>243</v>
      </c>
      <c r="F59" s="4" t="s">
        <v>239</v>
      </c>
      <c r="G59" s="4" t="s">
        <v>219</v>
      </c>
      <c r="H59" s="4" t="s">
        <v>244</v>
      </c>
      <c r="I59" s="4" t="s">
        <v>16</v>
      </c>
      <c r="J59" s="4"/>
      <c r="K59" s="4"/>
      <c r="L59" s="4"/>
      <c r="M59" s="4" t="s">
        <v>20</v>
      </c>
    </row>
    <row r="60" spans="1:13" ht="28">
      <c r="A60" s="4">
        <v>12</v>
      </c>
      <c r="B60" s="4" t="s">
        <v>245</v>
      </c>
      <c r="C60" s="4" t="s">
        <v>37</v>
      </c>
      <c r="D60" s="4" t="s">
        <v>246</v>
      </c>
      <c r="E60" s="4" t="s">
        <v>247</v>
      </c>
      <c r="F60" s="4" t="s">
        <v>248</v>
      </c>
      <c r="G60" s="4" t="s">
        <v>241</v>
      </c>
      <c r="H60" s="4" t="s">
        <v>249</v>
      </c>
      <c r="I60" s="4" t="s">
        <v>16</v>
      </c>
      <c r="J60" s="4"/>
      <c r="K60" s="4"/>
      <c r="L60" s="4"/>
      <c r="M60" s="4" t="s">
        <v>20</v>
      </c>
    </row>
    <row r="61" spans="1:13" ht="28">
      <c r="A61" s="4">
        <v>13</v>
      </c>
      <c r="B61" s="4" t="s">
        <v>250</v>
      </c>
      <c r="C61" s="4" t="s">
        <v>37</v>
      </c>
      <c r="D61" s="4" t="s">
        <v>251</v>
      </c>
      <c r="E61" s="4" t="s">
        <v>252</v>
      </c>
      <c r="F61" s="4" t="s">
        <v>248</v>
      </c>
      <c r="G61" s="4" t="s">
        <v>245</v>
      </c>
      <c r="H61" s="4" t="s">
        <v>253</v>
      </c>
      <c r="I61" s="4" t="s">
        <v>16</v>
      </c>
      <c r="J61" s="4"/>
      <c r="K61" s="4"/>
      <c r="L61" s="4"/>
      <c r="M61" s="4" t="s">
        <v>20</v>
      </c>
    </row>
    <row r="62" spans="1:13" ht="28">
      <c r="A62" s="4">
        <v>14</v>
      </c>
      <c r="B62" s="4" t="s">
        <v>254</v>
      </c>
      <c r="C62" s="4" t="s">
        <v>37</v>
      </c>
      <c r="D62" s="4" t="s">
        <v>255</v>
      </c>
      <c r="E62" s="4" t="s">
        <v>256</v>
      </c>
      <c r="F62" s="4" t="s">
        <v>257</v>
      </c>
      <c r="G62" s="4" t="s">
        <v>250</v>
      </c>
      <c r="H62" s="4" t="s">
        <v>258</v>
      </c>
      <c r="I62" s="4" t="s">
        <v>16</v>
      </c>
      <c r="J62" s="4"/>
      <c r="K62" s="4"/>
      <c r="L62" s="4"/>
      <c r="M62" s="4" t="s">
        <v>20</v>
      </c>
    </row>
    <row r="63" spans="1:13" ht="28">
      <c r="A63" s="4">
        <v>15</v>
      </c>
      <c r="B63" s="4" t="s">
        <v>240</v>
      </c>
      <c r="C63" s="4" t="s">
        <v>48</v>
      </c>
      <c r="D63" s="4" t="s">
        <v>259</v>
      </c>
      <c r="E63" s="4" t="s">
        <v>260</v>
      </c>
      <c r="F63" s="4" t="s">
        <v>226</v>
      </c>
      <c r="G63" s="4" t="s">
        <v>261</v>
      </c>
      <c r="H63" s="4" t="s">
        <v>262</v>
      </c>
      <c r="I63" s="4" t="s">
        <v>16</v>
      </c>
      <c r="J63" s="4"/>
      <c r="K63" s="4"/>
      <c r="L63" s="4"/>
      <c r="M63" s="4" t="s">
        <v>20</v>
      </c>
    </row>
    <row r="64" spans="1:13" ht="28">
      <c r="A64" s="4">
        <v>16</v>
      </c>
      <c r="B64" s="4" t="s">
        <v>262</v>
      </c>
      <c r="C64" s="4" t="s">
        <v>48</v>
      </c>
      <c r="D64" s="4" t="s">
        <v>263</v>
      </c>
      <c r="E64" s="4" t="s">
        <v>264</v>
      </c>
      <c r="F64" s="4" t="s">
        <v>239</v>
      </c>
      <c r="G64" s="4" t="s">
        <v>240</v>
      </c>
      <c r="H64" s="4" t="s">
        <v>265</v>
      </c>
      <c r="I64" s="4" t="s">
        <v>16</v>
      </c>
      <c r="J64" s="4"/>
      <c r="K64" s="4"/>
      <c r="L64" s="4"/>
      <c r="M64" s="4" t="s">
        <v>20</v>
      </c>
    </row>
    <row r="65" spans="1:13">
      <c r="A65" s="4">
        <v>17</v>
      </c>
      <c r="B65" s="4" t="s">
        <v>266</v>
      </c>
      <c r="C65" s="4" t="s">
        <v>48</v>
      </c>
      <c r="D65" s="4" t="s">
        <v>267</v>
      </c>
      <c r="E65" s="4" t="s">
        <v>268</v>
      </c>
      <c r="F65" s="4" t="s">
        <v>239</v>
      </c>
      <c r="G65" s="4" t="s">
        <v>269</v>
      </c>
      <c r="H65" s="4" t="s">
        <v>270</v>
      </c>
      <c r="I65" s="4" t="s">
        <v>16</v>
      </c>
      <c r="J65" s="4"/>
      <c r="K65" s="4"/>
      <c r="L65" s="4"/>
      <c r="M65" s="4" t="s">
        <v>20</v>
      </c>
    </row>
    <row r="66" spans="1:13">
      <c r="A66" s="4">
        <v>18</v>
      </c>
      <c r="B66" s="4" t="s">
        <v>271</v>
      </c>
      <c r="C66" s="4" t="s">
        <v>48</v>
      </c>
      <c r="D66" s="4" t="s">
        <v>272</v>
      </c>
      <c r="E66" s="4" t="s">
        <v>273</v>
      </c>
      <c r="F66" s="4" t="s">
        <v>274</v>
      </c>
      <c r="G66" s="4" t="s">
        <v>275</v>
      </c>
      <c r="H66" s="4" t="s">
        <v>276</v>
      </c>
      <c r="I66" s="4" t="s">
        <v>16</v>
      </c>
      <c r="J66" s="4"/>
      <c r="K66" s="4"/>
      <c r="L66" s="4"/>
      <c r="M66" s="4" t="s">
        <v>20</v>
      </c>
    </row>
    <row r="67" spans="1:13">
      <c r="A67" s="4">
        <v>19</v>
      </c>
      <c r="B67" s="4" t="s">
        <v>277</v>
      </c>
      <c r="C67" s="4" t="s">
        <v>48</v>
      </c>
      <c r="D67" s="4" t="s">
        <v>278</v>
      </c>
      <c r="E67" s="4" t="s">
        <v>279</v>
      </c>
      <c r="F67" s="4" t="s">
        <v>274</v>
      </c>
      <c r="G67" s="4" t="s">
        <v>271</v>
      </c>
      <c r="H67" s="4" t="s">
        <v>280</v>
      </c>
      <c r="I67" s="4" t="s">
        <v>16</v>
      </c>
      <c r="J67" s="4"/>
      <c r="K67" s="4"/>
      <c r="L67" s="4"/>
      <c r="M67" s="4" t="s">
        <v>20</v>
      </c>
    </row>
    <row r="68" spans="1:13">
      <c r="A68" s="4">
        <v>20</v>
      </c>
      <c r="B68" s="4" t="s">
        <v>280</v>
      </c>
      <c r="C68" s="4" t="s">
        <v>48</v>
      </c>
      <c r="D68" s="4" t="s">
        <v>281</v>
      </c>
      <c r="E68" s="4" t="s">
        <v>282</v>
      </c>
      <c r="F68" s="4" t="s">
        <v>283</v>
      </c>
      <c r="G68" s="4" t="s">
        <v>277</v>
      </c>
      <c r="H68" s="4" t="s">
        <v>284</v>
      </c>
      <c r="I68" s="4" t="s">
        <v>16</v>
      </c>
      <c r="J68" s="4"/>
      <c r="K68" s="4"/>
      <c r="L68" s="4"/>
      <c r="M68" s="4" t="s">
        <v>20</v>
      </c>
    </row>
    <row r="69" spans="1:13">
      <c r="A69" s="4">
        <v>21</v>
      </c>
      <c r="B69" s="4" t="s">
        <v>285</v>
      </c>
      <c r="C69" s="4" t="s">
        <v>48</v>
      </c>
      <c r="D69" s="4" t="s">
        <v>286</v>
      </c>
      <c r="E69" s="4" t="s">
        <v>287</v>
      </c>
      <c r="F69" s="4" t="s">
        <v>206</v>
      </c>
      <c r="G69" s="4" t="s">
        <v>265</v>
      </c>
      <c r="H69" s="4" t="s">
        <v>288</v>
      </c>
      <c r="I69" s="4" t="s">
        <v>16</v>
      </c>
      <c r="J69" s="4"/>
      <c r="K69" s="4"/>
      <c r="L69" s="4"/>
      <c r="M69" s="4" t="s">
        <v>20</v>
      </c>
    </row>
    <row r="70" spans="1:13">
      <c r="A70" s="4">
        <v>22</v>
      </c>
      <c r="B70" s="4" t="s">
        <v>288</v>
      </c>
      <c r="C70" s="4" t="s">
        <v>48</v>
      </c>
      <c r="D70" s="4" t="s">
        <v>289</v>
      </c>
      <c r="E70" s="4" t="s">
        <v>290</v>
      </c>
      <c r="F70" s="4" t="s">
        <v>239</v>
      </c>
      <c r="G70" s="4" t="s">
        <v>285</v>
      </c>
      <c r="H70" s="4" t="s">
        <v>291</v>
      </c>
      <c r="I70" s="4" t="s">
        <v>16</v>
      </c>
      <c r="J70" s="4"/>
      <c r="K70" s="4"/>
      <c r="L70" s="4"/>
      <c r="M70" s="4" t="s">
        <v>20</v>
      </c>
    </row>
    <row r="71" spans="1:13" ht="28">
      <c r="A71" s="4">
        <v>23</v>
      </c>
      <c r="B71" s="4" t="s">
        <v>291</v>
      </c>
      <c r="C71" s="4" t="s">
        <v>48</v>
      </c>
      <c r="D71" s="4" t="s">
        <v>292</v>
      </c>
      <c r="E71" s="4" t="s">
        <v>293</v>
      </c>
      <c r="F71" s="4" t="s">
        <v>206</v>
      </c>
      <c r="G71" s="4" t="s">
        <v>288</v>
      </c>
      <c r="H71" s="4" t="s">
        <v>294</v>
      </c>
      <c r="I71" s="4" t="s">
        <v>16</v>
      </c>
      <c r="J71" s="4"/>
      <c r="K71" s="4"/>
      <c r="L71" s="4"/>
      <c r="M71" s="4" t="s">
        <v>20</v>
      </c>
    </row>
    <row r="72" spans="1:13" ht="28">
      <c r="A72" s="4">
        <v>24</v>
      </c>
      <c r="B72" s="4" t="s">
        <v>294</v>
      </c>
      <c r="C72" s="4" t="s">
        <v>48</v>
      </c>
      <c r="D72" s="4" t="s">
        <v>295</v>
      </c>
      <c r="E72" s="4" t="s">
        <v>296</v>
      </c>
      <c r="F72" s="4" t="s">
        <v>297</v>
      </c>
      <c r="G72" s="4" t="s">
        <v>298</v>
      </c>
      <c r="H72" s="4" t="s">
        <v>299</v>
      </c>
      <c r="I72" s="4" t="s">
        <v>16</v>
      </c>
      <c r="J72" s="4"/>
      <c r="K72" s="4"/>
      <c r="L72" s="4"/>
      <c r="M72" s="4" t="s">
        <v>20</v>
      </c>
    </row>
    <row r="73" spans="1:13">
      <c r="A73" s="4">
        <v>25</v>
      </c>
      <c r="B73" s="4" t="s">
        <v>299</v>
      </c>
      <c r="C73" s="4" t="s">
        <v>48</v>
      </c>
      <c r="D73" s="4" t="s">
        <v>300</v>
      </c>
      <c r="E73" s="4" t="s">
        <v>301</v>
      </c>
      <c r="F73" s="4" t="s">
        <v>302</v>
      </c>
      <c r="G73" s="4" t="s">
        <v>294</v>
      </c>
      <c r="H73" s="4" t="s">
        <v>303</v>
      </c>
      <c r="I73" s="4" t="s">
        <v>16</v>
      </c>
      <c r="J73" s="4"/>
      <c r="K73" s="4"/>
      <c r="L73" s="4"/>
      <c r="M73" s="4" t="s">
        <v>20</v>
      </c>
    </row>
    <row r="74" spans="1:13">
      <c r="A74" s="4">
        <v>26</v>
      </c>
      <c r="B74" s="4" t="s">
        <v>304</v>
      </c>
      <c r="C74" s="4" t="s">
        <v>58</v>
      </c>
      <c r="D74" s="4" t="s">
        <v>305</v>
      </c>
      <c r="E74" s="4" t="s">
        <v>306</v>
      </c>
      <c r="F74" s="4" t="s">
        <v>239</v>
      </c>
      <c r="G74" s="4" t="s">
        <v>299</v>
      </c>
      <c r="H74" s="4" t="s">
        <v>307</v>
      </c>
      <c r="I74" s="4" t="s">
        <v>16</v>
      </c>
      <c r="J74" s="4"/>
      <c r="K74" s="4"/>
      <c r="L74" s="4"/>
      <c r="M74" s="4" t="s">
        <v>20</v>
      </c>
    </row>
    <row r="75" spans="1:13">
      <c r="A75" s="4">
        <v>27</v>
      </c>
      <c r="B75" s="4" t="s">
        <v>308</v>
      </c>
      <c r="C75" s="4" t="s">
        <v>58</v>
      </c>
      <c r="D75" s="4" t="s">
        <v>309</v>
      </c>
      <c r="E75" s="4" t="s">
        <v>310</v>
      </c>
      <c r="F75" s="4" t="s">
        <v>311</v>
      </c>
      <c r="G75" s="4" t="s">
        <v>304</v>
      </c>
      <c r="H75" s="4" t="s">
        <v>312</v>
      </c>
      <c r="I75" s="4" t="s">
        <v>16</v>
      </c>
      <c r="J75" s="4"/>
      <c r="K75" s="4"/>
      <c r="L75" s="4"/>
      <c r="M75" s="4" t="s">
        <v>20</v>
      </c>
    </row>
    <row r="76" spans="1:13" ht="28">
      <c r="A76" s="4">
        <v>28</v>
      </c>
      <c r="B76" s="4" t="s">
        <v>313</v>
      </c>
      <c r="C76" s="4" t="s">
        <v>58</v>
      </c>
      <c r="D76" s="4" t="s">
        <v>314</v>
      </c>
      <c r="E76" s="4" t="s">
        <v>315</v>
      </c>
      <c r="F76" s="4" t="s">
        <v>206</v>
      </c>
      <c r="G76" s="4" t="s">
        <v>299</v>
      </c>
      <c r="H76" s="4" t="s">
        <v>312</v>
      </c>
      <c r="I76" s="4" t="s">
        <v>16</v>
      </c>
      <c r="J76" s="4"/>
      <c r="K76" s="4"/>
      <c r="L76" s="4"/>
      <c r="M76" s="4" t="s">
        <v>20</v>
      </c>
    </row>
    <row r="77" spans="1:13">
      <c r="A77" s="4">
        <v>29</v>
      </c>
      <c r="B77" s="4" t="s">
        <v>312</v>
      </c>
      <c r="C77" s="4" t="s">
        <v>58</v>
      </c>
      <c r="D77" s="4" t="s">
        <v>316</v>
      </c>
      <c r="E77" s="4" t="s">
        <v>317</v>
      </c>
      <c r="F77" s="4" t="s">
        <v>248</v>
      </c>
      <c r="G77" s="4" t="s">
        <v>318</v>
      </c>
      <c r="H77" s="4" t="s">
        <v>319</v>
      </c>
      <c r="I77" s="4" t="s">
        <v>16</v>
      </c>
      <c r="J77" s="4"/>
      <c r="K77" s="4"/>
      <c r="L77" s="4"/>
      <c r="M77" s="4" t="s">
        <v>20</v>
      </c>
    </row>
    <row r="78" spans="1:13" ht="28">
      <c r="A78" s="4">
        <v>30</v>
      </c>
      <c r="B78" s="4" t="s">
        <v>319</v>
      </c>
      <c r="C78" s="4" t="s">
        <v>58</v>
      </c>
      <c r="D78" s="4" t="s">
        <v>259</v>
      </c>
      <c r="E78" s="4" t="s">
        <v>320</v>
      </c>
      <c r="F78" s="4" t="s">
        <v>226</v>
      </c>
      <c r="G78" s="4" t="s">
        <v>321</v>
      </c>
      <c r="H78" s="4" t="s">
        <v>322</v>
      </c>
      <c r="I78" s="4" t="s">
        <v>16</v>
      </c>
      <c r="J78" s="4"/>
      <c r="K78" s="4"/>
      <c r="L78" s="4"/>
      <c r="M78" s="4" t="s">
        <v>20</v>
      </c>
    </row>
    <row r="79" spans="1:13" ht="28">
      <c r="A79" s="4">
        <v>31</v>
      </c>
      <c r="B79" s="4" t="s">
        <v>322</v>
      </c>
      <c r="C79" s="4" t="s">
        <v>58</v>
      </c>
      <c r="D79" s="4" t="s">
        <v>263</v>
      </c>
      <c r="E79" s="4" t="s">
        <v>323</v>
      </c>
      <c r="F79" s="4" t="s">
        <v>239</v>
      </c>
      <c r="G79" s="4" t="s">
        <v>319</v>
      </c>
      <c r="H79" s="4" t="s">
        <v>324</v>
      </c>
      <c r="I79" s="4" t="s">
        <v>16</v>
      </c>
      <c r="J79" s="4"/>
      <c r="K79" s="4"/>
      <c r="L79" s="4"/>
      <c r="M79" s="4" t="s">
        <v>20</v>
      </c>
    </row>
    <row r="80" spans="1:13">
      <c r="A80" s="4">
        <v>32</v>
      </c>
      <c r="B80" s="4" t="s">
        <v>325</v>
      </c>
      <c r="C80" s="4" t="s">
        <v>58</v>
      </c>
      <c r="D80" s="4" t="s">
        <v>326</v>
      </c>
      <c r="E80" s="4" t="s">
        <v>327</v>
      </c>
      <c r="F80" s="4" t="s">
        <v>239</v>
      </c>
      <c r="G80" s="4" t="s">
        <v>328</v>
      </c>
      <c r="H80" s="4" t="s">
        <v>329</v>
      </c>
      <c r="I80" s="4" t="s">
        <v>16</v>
      </c>
      <c r="J80" s="4"/>
      <c r="K80" s="4"/>
      <c r="L80" s="4"/>
      <c r="M80" s="4" t="s">
        <v>20</v>
      </c>
    </row>
    <row r="81" spans="1:13">
      <c r="A81" s="4">
        <v>33</v>
      </c>
      <c r="B81" s="4" t="s">
        <v>330</v>
      </c>
      <c r="C81" s="4" t="s">
        <v>58</v>
      </c>
      <c r="D81" s="4" t="s">
        <v>331</v>
      </c>
      <c r="E81" s="4" t="s">
        <v>332</v>
      </c>
      <c r="F81" s="4" t="s">
        <v>274</v>
      </c>
      <c r="G81" s="4" t="s">
        <v>333</v>
      </c>
      <c r="H81" s="4" t="s">
        <v>334</v>
      </c>
      <c r="I81" s="4" t="s">
        <v>16</v>
      </c>
      <c r="J81" s="4"/>
      <c r="K81" s="4"/>
      <c r="L81" s="4"/>
      <c r="M81" s="4" t="s">
        <v>20</v>
      </c>
    </row>
    <row r="82" spans="1:13">
      <c r="A82" s="4">
        <v>34</v>
      </c>
      <c r="B82" s="4" t="s">
        <v>335</v>
      </c>
      <c r="C82" s="4" t="s">
        <v>58</v>
      </c>
      <c r="D82" s="4" t="s">
        <v>278</v>
      </c>
      <c r="E82" s="4" t="s">
        <v>336</v>
      </c>
      <c r="F82" s="4" t="s">
        <v>274</v>
      </c>
      <c r="G82" s="4" t="s">
        <v>330</v>
      </c>
      <c r="H82" s="4" t="s">
        <v>337</v>
      </c>
      <c r="I82" s="4" t="s">
        <v>16</v>
      </c>
      <c r="J82" s="4"/>
      <c r="K82" s="4"/>
      <c r="L82" s="4"/>
      <c r="M82" s="4" t="s">
        <v>20</v>
      </c>
    </row>
    <row r="83" spans="1:13">
      <c r="A83" s="4">
        <v>35</v>
      </c>
      <c r="B83" s="4" t="s">
        <v>337</v>
      </c>
      <c r="C83" s="4" t="s">
        <v>58</v>
      </c>
      <c r="D83" s="4" t="s">
        <v>281</v>
      </c>
      <c r="E83" s="4" t="s">
        <v>338</v>
      </c>
      <c r="F83" s="4" t="s">
        <v>283</v>
      </c>
      <c r="G83" s="4" t="s">
        <v>335</v>
      </c>
      <c r="H83" s="4" t="s">
        <v>339</v>
      </c>
      <c r="I83" s="4" t="s">
        <v>16</v>
      </c>
      <c r="J83" s="4"/>
      <c r="K83" s="4"/>
      <c r="L83" s="4"/>
      <c r="M83" s="4" t="s">
        <v>20</v>
      </c>
    </row>
    <row r="84" spans="1:13">
      <c r="A84" s="4">
        <v>36</v>
      </c>
      <c r="B84" s="4" t="s">
        <v>340</v>
      </c>
      <c r="C84" s="4" t="s">
        <v>58</v>
      </c>
      <c r="D84" s="4" t="s">
        <v>286</v>
      </c>
      <c r="E84" s="4" t="s">
        <v>341</v>
      </c>
      <c r="F84" s="4" t="s">
        <v>206</v>
      </c>
      <c r="G84" s="4" t="s">
        <v>324</v>
      </c>
      <c r="H84" s="4" t="s">
        <v>342</v>
      </c>
      <c r="I84" s="4" t="s">
        <v>16</v>
      </c>
      <c r="J84" s="4"/>
      <c r="K84" s="4"/>
      <c r="L84" s="4"/>
      <c r="M84" s="4" t="s">
        <v>20</v>
      </c>
    </row>
    <row r="85" spans="1:13">
      <c r="A85" s="4">
        <v>37</v>
      </c>
      <c r="B85" s="4" t="s">
        <v>342</v>
      </c>
      <c r="C85" s="4" t="s">
        <v>58</v>
      </c>
      <c r="D85" s="4" t="s">
        <v>289</v>
      </c>
      <c r="E85" s="4" t="s">
        <v>343</v>
      </c>
      <c r="F85" s="4" t="s">
        <v>239</v>
      </c>
      <c r="G85" s="4" t="s">
        <v>340</v>
      </c>
      <c r="H85" s="4" t="s">
        <v>344</v>
      </c>
      <c r="I85" s="4" t="s">
        <v>16</v>
      </c>
      <c r="J85" s="4"/>
      <c r="K85" s="4"/>
      <c r="L85" s="4"/>
      <c r="M85" s="4" t="s">
        <v>20</v>
      </c>
    </row>
    <row r="86" spans="1:13" ht="28">
      <c r="A86" s="4">
        <v>38</v>
      </c>
      <c r="B86" s="4" t="s">
        <v>344</v>
      </c>
      <c r="C86" s="4" t="s">
        <v>58</v>
      </c>
      <c r="D86" s="4" t="s">
        <v>292</v>
      </c>
      <c r="E86" s="4" t="s">
        <v>345</v>
      </c>
      <c r="F86" s="4" t="s">
        <v>206</v>
      </c>
      <c r="G86" s="4" t="s">
        <v>342</v>
      </c>
      <c r="H86" s="4" t="s">
        <v>346</v>
      </c>
      <c r="I86" s="4" t="s">
        <v>16</v>
      </c>
      <c r="J86" s="4"/>
      <c r="K86" s="4"/>
      <c r="L86" s="4"/>
      <c r="M86" s="4" t="s">
        <v>20</v>
      </c>
    </row>
    <row r="87" spans="1:13" ht="28">
      <c r="A87" s="4">
        <v>39</v>
      </c>
      <c r="B87" s="4" t="s">
        <v>346</v>
      </c>
      <c r="C87" s="4" t="s">
        <v>58</v>
      </c>
      <c r="D87" s="4" t="s">
        <v>295</v>
      </c>
      <c r="E87" s="4" t="s">
        <v>347</v>
      </c>
      <c r="F87" s="4" t="s">
        <v>297</v>
      </c>
      <c r="G87" s="4" t="s">
        <v>348</v>
      </c>
      <c r="H87" s="4" t="s">
        <v>349</v>
      </c>
      <c r="I87" s="4" t="s">
        <v>16</v>
      </c>
      <c r="J87" s="4"/>
      <c r="K87" s="4"/>
      <c r="L87" s="4"/>
      <c r="M87" s="4" t="s">
        <v>20</v>
      </c>
    </row>
    <row r="88" spans="1:13">
      <c r="A88" s="4">
        <v>40</v>
      </c>
      <c r="B88" s="4" t="s">
        <v>349</v>
      </c>
      <c r="C88" s="4" t="s">
        <v>58</v>
      </c>
      <c r="D88" s="4" t="s">
        <v>350</v>
      </c>
      <c r="E88" s="4" t="s">
        <v>351</v>
      </c>
      <c r="F88" s="4" t="s">
        <v>302</v>
      </c>
      <c r="G88" s="4" t="s">
        <v>346</v>
      </c>
      <c r="H88" s="4" t="s">
        <v>352</v>
      </c>
      <c r="I88" s="4" t="s">
        <v>16</v>
      </c>
      <c r="J88" s="4"/>
      <c r="K88" s="4"/>
      <c r="L88" s="4"/>
      <c r="M88" s="4" t="s">
        <v>20</v>
      </c>
    </row>
    <row r="89" spans="1:13">
      <c r="A89" s="4">
        <v>41</v>
      </c>
      <c r="B89" s="4" t="s">
        <v>353</v>
      </c>
      <c r="C89" s="4" t="s">
        <v>65</v>
      </c>
      <c r="D89" s="4" t="s">
        <v>354</v>
      </c>
      <c r="E89" s="4" t="s">
        <v>355</v>
      </c>
      <c r="F89" s="4" t="s">
        <v>356</v>
      </c>
      <c r="G89" s="4" t="s">
        <v>357</v>
      </c>
      <c r="H89" s="4" t="s">
        <v>358</v>
      </c>
      <c r="I89" s="4" t="s">
        <v>16</v>
      </c>
      <c r="J89" s="4"/>
      <c r="K89" s="4"/>
      <c r="L89" s="4"/>
      <c r="M89" s="4" t="s">
        <v>20</v>
      </c>
    </row>
    <row r="90" spans="1:13" ht="28">
      <c r="A90" s="4">
        <v>42</v>
      </c>
      <c r="B90" s="4" t="s">
        <v>359</v>
      </c>
      <c r="C90" s="4" t="s">
        <v>65</v>
      </c>
      <c r="D90" s="4" t="s">
        <v>360</v>
      </c>
      <c r="E90" s="4" t="s">
        <v>361</v>
      </c>
      <c r="F90" s="4" t="s">
        <v>206</v>
      </c>
      <c r="G90" s="4" t="s">
        <v>349</v>
      </c>
      <c r="H90" s="4" t="s">
        <v>362</v>
      </c>
      <c r="I90" s="4" t="s">
        <v>16</v>
      </c>
      <c r="J90" s="4"/>
      <c r="K90" s="4"/>
      <c r="L90" s="4"/>
      <c r="M90" s="4" t="s">
        <v>20</v>
      </c>
    </row>
    <row r="91" spans="1:13">
      <c r="A91" s="4">
        <v>43</v>
      </c>
      <c r="B91" s="4" t="s">
        <v>362</v>
      </c>
      <c r="C91" s="4" t="s">
        <v>65</v>
      </c>
      <c r="D91" s="4" t="s">
        <v>363</v>
      </c>
      <c r="E91" s="4" t="s">
        <v>364</v>
      </c>
      <c r="F91" s="4" t="s">
        <v>248</v>
      </c>
      <c r="G91" s="4" t="s">
        <v>365</v>
      </c>
      <c r="H91" s="4" t="s">
        <v>366</v>
      </c>
      <c r="I91" s="4" t="s">
        <v>16</v>
      </c>
      <c r="J91" s="4"/>
      <c r="K91" s="4"/>
      <c r="L91" s="4"/>
      <c r="M91" s="4" t="s">
        <v>20</v>
      </c>
    </row>
    <row r="92" spans="1:13">
      <c r="A92" s="4">
        <v>44</v>
      </c>
      <c r="B92" s="4" t="s">
        <v>366</v>
      </c>
      <c r="C92" s="4" t="s">
        <v>65</v>
      </c>
      <c r="D92" s="4" t="s">
        <v>367</v>
      </c>
      <c r="E92" s="4" t="s">
        <v>256</v>
      </c>
      <c r="F92" s="4" t="s">
        <v>257</v>
      </c>
      <c r="G92" s="4" t="s">
        <v>368</v>
      </c>
      <c r="H92" s="4" t="s">
        <v>358</v>
      </c>
      <c r="I92" s="4" t="s">
        <v>16</v>
      </c>
      <c r="J92" s="4"/>
      <c r="K92" s="4"/>
      <c r="L92" s="4"/>
      <c r="M92" s="4" t="s">
        <v>20</v>
      </c>
    </row>
    <row r="93" spans="1:13" ht="28">
      <c r="A93" s="4">
        <v>45</v>
      </c>
      <c r="B93" s="4" t="s">
        <v>358</v>
      </c>
      <c r="C93" s="4" t="s">
        <v>65</v>
      </c>
      <c r="D93" s="4" t="s">
        <v>259</v>
      </c>
      <c r="E93" s="4" t="s">
        <v>369</v>
      </c>
      <c r="F93" s="4" t="s">
        <v>226</v>
      </c>
      <c r="G93" s="4" t="s">
        <v>370</v>
      </c>
      <c r="H93" s="4" t="s">
        <v>371</v>
      </c>
      <c r="I93" s="4" t="s">
        <v>16</v>
      </c>
      <c r="J93" s="4"/>
      <c r="K93" s="4"/>
      <c r="L93" s="4"/>
      <c r="M93" s="4" t="s">
        <v>20</v>
      </c>
    </row>
    <row r="94" spans="1:13" ht="28">
      <c r="A94" s="4">
        <v>46</v>
      </c>
      <c r="B94" s="4" t="s">
        <v>371</v>
      </c>
      <c r="C94" s="4" t="s">
        <v>65</v>
      </c>
      <c r="D94" s="4" t="s">
        <v>263</v>
      </c>
      <c r="E94" s="4" t="s">
        <v>372</v>
      </c>
      <c r="F94" s="4" t="s">
        <v>239</v>
      </c>
      <c r="G94" s="4" t="s">
        <v>358</v>
      </c>
      <c r="H94" s="4" t="s">
        <v>373</v>
      </c>
      <c r="I94" s="4" t="s">
        <v>16</v>
      </c>
      <c r="J94" s="4"/>
      <c r="K94" s="4"/>
      <c r="L94" s="4"/>
      <c r="M94" s="4" t="s">
        <v>20</v>
      </c>
    </row>
    <row r="95" spans="1:13">
      <c r="A95" s="4">
        <v>47</v>
      </c>
      <c r="B95" s="4" t="s">
        <v>374</v>
      </c>
      <c r="C95" s="4" t="s">
        <v>65</v>
      </c>
      <c r="D95" s="4" t="s">
        <v>375</v>
      </c>
      <c r="E95" s="4" t="s">
        <v>376</v>
      </c>
      <c r="F95" s="4" t="s">
        <v>239</v>
      </c>
      <c r="G95" s="4" t="s">
        <v>377</v>
      </c>
      <c r="H95" s="4" t="s">
        <v>378</v>
      </c>
      <c r="I95" s="4" t="s">
        <v>16</v>
      </c>
      <c r="J95" s="4"/>
      <c r="K95" s="4"/>
      <c r="L95" s="4"/>
      <c r="M95" s="4" t="s">
        <v>20</v>
      </c>
    </row>
    <row r="96" spans="1:13">
      <c r="A96" s="4">
        <v>48</v>
      </c>
      <c r="B96" s="4" t="s">
        <v>379</v>
      </c>
      <c r="C96" s="4" t="s">
        <v>65</v>
      </c>
      <c r="D96" s="4" t="s">
        <v>380</v>
      </c>
      <c r="E96" s="4" t="s">
        <v>381</v>
      </c>
      <c r="F96" s="4" t="s">
        <v>274</v>
      </c>
      <c r="G96" s="4" t="s">
        <v>382</v>
      </c>
      <c r="H96" s="4" t="s">
        <v>383</v>
      </c>
      <c r="I96" s="4" t="s">
        <v>16</v>
      </c>
      <c r="J96" s="4"/>
      <c r="K96" s="4"/>
      <c r="L96" s="4"/>
      <c r="M96" s="4" t="s">
        <v>20</v>
      </c>
    </row>
    <row r="97" spans="1:13">
      <c r="A97" s="4">
        <v>49</v>
      </c>
      <c r="B97" s="4" t="s">
        <v>384</v>
      </c>
      <c r="C97" s="4" t="s">
        <v>65</v>
      </c>
      <c r="D97" s="4" t="s">
        <v>278</v>
      </c>
      <c r="E97" s="4" t="s">
        <v>385</v>
      </c>
      <c r="F97" s="4" t="s">
        <v>274</v>
      </c>
      <c r="G97" s="4" t="s">
        <v>379</v>
      </c>
      <c r="H97" s="4" t="s">
        <v>386</v>
      </c>
      <c r="I97" s="4" t="s">
        <v>16</v>
      </c>
      <c r="J97" s="4"/>
      <c r="K97" s="4"/>
      <c r="L97" s="4"/>
      <c r="M97" s="4" t="s">
        <v>20</v>
      </c>
    </row>
    <row r="98" spans="1:13">
      <c r="A98" s="4">
        <v>50</v>
      </c>
      <c r="B98" s="4" t="s">
        <v>386</v>
      </c>
      <c r="C98" s="4" t="s">
        <v>65</v>
      </c>
      <c r="D98" s="4" t="s">
        <v>281</v>
      </c>
      <c r="E98" s="4" t="s">
        <v>387</v>
      </c>
      <c r="F98" s="4" t="s">
        <v>283</v>
      </c>
      <c r="G98" s="4" t="s">
        <v>384</v>
      </c>
      <c r="H98" s="4" t="s">
        <v>388</v>
      </c>
      <c r="I98" s="4" t="s">
        <v>16</v>
      </c>
      <c r="J98" s="4"/>
      <c r="K98" s="4"/>
      <c r="L98" s="4"/>
      <c r="M98" s="4" t="s">
        <v>20</v>
      </c>
    </row>
    <row r="99" spans="1:13">
      <c r="A99" s="4">
        <v>51</v>
      </c>
      <c r="B99" s="4" t="s">
        <v>389</v>
      </c>
      <c r="C99" s="4" t="s">
        <v>65</v>
      </c>
      <c r="D99" s="4" t="s">
        <v>286</v>
      </c>
      <c r="E99" s="4" t="s">
        <v>390</v>
      </c>
      <c r="F99" s="4" t="s">
        <v>206</v>
      </c>
      <c r="G99" s="4" t="s">
        <v>373</v>
      </c>
      <c r="H99" s="4" t="s">
        <v>391</v>
      </c>
      <c r="I99" s="4" t="s">
        <v>16</v>
      </c>
      <c r="J99" s="4"/>
      <c r="K99" s="4"/>
      <c r="L99" s="4"/>
      <c r="M99" s="4" t="s">
        <v>20</v>
      </c>
    </row>
    <row r="100" spans="1:13">
      <c r="A100" s="4">
        <v>52</v>
      </c>
      <c r="B100" s="4" t="s">
        <v>391</v>
      </c>
      <c r="C100" s="4" t="s">
        <v>65</v>
      </c>
      <c r="D100" s="4" t="s">
        <v>289</v>
      </c>
      <c r="E100" s="4" t="s">
        <v>392</v>
      </c>
      <c r="F100" s="4" t="s">
        <v>239</v>
      </c>
      <c r="G100" s="4" t="s">
        <v>389</v>
      </c>
      <c r="H100" s="4" t="s">
        <v>393</v>
      </c>
      <c r="I100" s="4" t="s">
        <v>16</v>
      </c>
      <c r="J100" s="4"/>
      <c r="K100" s="4"/>
      <c r="L100" s="4"/>
      <c r="M100" s="4" t="s">
        <v>20</v>
      </c>
    </row>
    <row r="101" spans="1:13" ht="28">
      <c r="A101" s="4">
        <v>53</v>
      </c>
      <c r="B101" s="4" t="s">
        <v>393</v>
      </c>
      <c r="C101" s="4" t="s">
        <v>65</v>
      </c>
      <c r="D101" s="4" t="s">
        <v>292</v>
      </c>
      <c r="E101" s="4" t="s">
        <v>394</v>
      </c>
      <c r="F101" s="4" t="s">
        <v>206</v>
      </c>
      <c r="G101" s="4" t="s">
        <v>391</v>
      </c>
      <c r="H101" s="4" t="s">
        <v>395</v>
      </c>
      <c r="I101" s="4" t="s">
        <v>16</v>
      </c>
      <c r="J101" s="4"/>
      <c r="K101" s="4"/>
      <c r="L101" s="4"/>
      <c r="M101" s="4" t="s">
        <v>20</v>
      </c>
    </row>
    <row r="102" spans="1:13" ht="28">
      <c r="A102" s="4">
        <v>54</v>
      </c>
      <c r="B102" s="4" t="s">
        <v>395</v>
      </c>
      <c r="C102" s="4" t="s">
        <v>65</v>
      </c>
      <c r="D102" s="4" t="s">
        <v>295</v>
      </c>
      <c r="E102" s="4" t="s">
        <v>396</v>
      </c>
      <c r="F102" s="4" t="s">
        <v>297</v>
      </c>
      <c r="G102" s="4" t="s">
        <v>397</v>
      </c>
      <c r="H102" s="4" t="s">
        <v>398</v>
      </c>
      <c r="I102" s="4" t="s">
        <v>16</v>
      </c>
      <c r="J102" s="4"/>
      <c r="K102" s="4"/>
      <c r="L102" s="4"/>
      <c r="M102" s="4" t="s">
        <v>20</v>
      </c>
    </row>
    <row r="103" spans="1:13">
      <c r="A103" s="4">
        <v>55</v>
      </c>
      <c r="B103" s="4" t="s">
        <v>398</v>
      </c>
      <c r="C103" s="4" t="s">
        <v>65</v>
      </c>
      <c r="D103" s="4" t="s">
        <v>399</v>
      </c>
      <c r="E103" s="4" t="s">
        <v>400</v>
      </c>
      <c r="F103" s="4" t="s">
        <v>297</v>
      </c>
      <c r="G103" s="4" t="s">
        <v>395</v>
      </c>
      <c r="H103" s="4" t="s">
        <v>401</v>
      </c>
      <c r="I103" s="4" t="s">
        <v>16</v>
      </c>
      <c r="J103" s="4"/>
      <c r="K103" s="4"/>
      <c r="L103" s="4"/>
      <c r="M103" s="4" t="s">
        <v>20</v>
      </c>
    </row>
    <row r="104" spans="1:13">
      <c r="A104" s="4">
        <v>56</v>
      </c>
      <c r="B104" s="4" t="s">
        <v>402</v>
      </c>
      <c r="C104" s="4" t="s">
        <v>65</v>
      </c>
      <c r="D104" s="4" t="s">
        <v>403</v>
      </c>
      <c r="E104" s="4" t="s">
        <v>404</v>
      </c>
      <c r="F104" s="4" t="s">
        <v>302</v>
      </c>
      <c r="G104" s="4" t="s">
        <v>398</v>
      </c>
      <c r="H104" s="4" t="s">
        <v>405</v>
      </c>
      <c r="I104" s="4" t="s">
        <v>16</v>
      </c>
      <c r="J104" s="4"/>
      <c r="K104" s="4"/>
      <c r="L104" s="4"/>
      <c r="M104" s="4" t="s">
        <v>20</v>
      </c>
    </row>
    <row r="105" spans="1:13">
      <c r="A105" s="4">
        <v>57</v>
      </c>
      <c r="B105" s="4" t="s">
        <v>406</v>
      </c>
      <c r="C105" s="4" t="s">
        <v>73</v>
      </c>
      <c r="D105" s="4" t="s">
        <v>407</v>
      </c>
      <c r="E105" s="4" t="s">
        <v>408</v>
      </c>
      <c r="F105" s="4" t="s">
        <v>206</v>
      </c>
      <c r="G105" s="4" t="s">
        <v>402</v>
      </c>
      <c r="H105" s="4" t="s">
        <v>409</v>
      </c>
      <c r="I105" s="4" t="s">
        <v>16</v>
      </c>
      <c r="J105" s="4"/>
      <c r="K105" s="4"/>
      <c r="L105" s="4"/>
      <c r="M105" s="4" t="s">
        <v>20</v>
      </c>
    </row>
    <row r="106" spans="1:13">
      <c r="A106" s="4">
        <v>58</v>
      </c>
      <c r="B106" s="4" t="s">
        <v>410</v>
      </c>
      <c r="C106" s="4" t="s">
        <v>73</v>
      </c>
      <c r="D106" s="4" t="s">
        <v>411</v>
      </c>
      <c r="E106" s="4" t="s">
        <v>412</v>
      </c>
      <c r="F106" s="4" t="s">
        <v>413</v>
      </c>
      <c r="G106" s="4" t="s">
        <v>398</v>
      </c>
      <c r="H106" s="4" t="s">
        <v>414</v>
      </c>
      <c r="I106" s="4" t="s">
        <v>16</v>
      </c>
      <c r="J106" s="4"/>
      <c r="K106" s="4"/>
      <c r="L106" s="4"/>
      <c r="M106" s="4" t="s">
        <v>20</v>
      </c>
    </row>
    <row r="107" spans="1:13">
      <c r="A107" s="4">
        <v>59</v>
      </c>
      <c r="B107" s="4" t="s">
        <v>415</v>
      </c>
      <c r="C107" s="4" t="s">
        <v>73</v>
      </c>
      <c r="D107" s="4" t="s">
        <v>416</v>
      </c>
      <c r="E107" s="4" t="s">
        <v>417</v>
      </c>
      <c r="F107" s="4" t="s">
        <v>178</v>
      </c>
      <c r="G107" s="4" t="s">
        <v>406</v>
      </c>
      <c r="H107" s="4" t="s">
        <v>414</v>
      </c>
      <c r="I107" s="4" t="s">
        <v>16</v>
      </c>
      <c r="J107" s="4"/>
      <c r="K107" s="4"/>
      <c r="L107" s="4"/>
      <c r="M107" s="4" t="s">
        <v>20</v>
      </c>
    </row>
    <row r="108" spans="1:13">
      <c r="A108" s="4">
        <v>60</v>
      </c>
      <c r="B108" s="4" t="s">
        <v>418</v>
      </c>
      <c r="C108" s="4" t="s">
        <v>73</v>
      </c>
      <c r="D108" s="4" t="s">
        <v>419</v>
      </c>
      <c r="E108" s="4" t="s">
        <v>420</v>
      </c>
      <c r="F108" s="4" t="s">
        <v>421</v>
      </c>
      <c r="G108" s="4" t="s">
        <v>422</v>
      </c>
      <c r="H108" s="4" t="s">
        <v>414</v>
      </c>
      <c r="I108" s="4" t="s">
        <v>16</v>
      </c>
      <c r="J108" s="4"/>
      <c r="K108" s="4"/>
      <c r="L108" s="4"/>
      <c r="M108" s="4" t="s">
        <v>20</v>
      </c>
    </row>
    <row r="109" spans="1:13">
      <c r="A109" s="4">
        <v>61</v>
      </c>
      <c r="B109" s="4" t="s">
        <v>423</v>
      </c>
      <c r="C109" s="4" t="s">
        <v>73</v>
      </c>
      <c r="D109" s="4" t="s">
        <v>424</v>
      </c>
      <c r="E109" s="4" t="s">
        <v>424</v>
      </c>
      <c r="F109" s="4" t="s">
        <v>425</v>
      </c>
      <c r="G109" s="4" t="s">
        <v>426</v>
      </c>
      <c r="H109" s="4" t="s">
        <v>414</v>
      </c>
      <c r="I109" s="4" t="s">
        <v>16</v>
      </c>
      <c r="J109" s="4"/>
      <c r="K109" s="4"/>
      <c r="L109" s="4"/>
      <c r="M109" s="4" t="s">
        <v>20</v>
      </c>
    </row>
    <row r="110" spans="1:13">
      <c r="A110" s="4">
        <v>62</v>
      </c>
      <c r="B110" s="4" t="s">
        <v>427</v>
      </c>
      <c r="C110" s="4" t="s">
        <v>73</v>
      </c>
      <c r="D110" s="4" t="s">
        <v>428</v>
      </c>
      <c r="E110" s="4" t="s">
        <v>429</v>
      </c>
      <c r="F110" s="4" t="s">
        <v>430</v>
      </c>
      <c r="G110" s="4" t="s">
        <v>426</v>
      </c>
      <c r="H110" s="4" t="s">
        <v>414</v>
      </c>
      <c r="I110" s="4" t="s">
        <v>16</v>
      </c>
      <c r="J110" s="4"/>
      <c r="K110" s="4"/>
      <c r="L110" s="4"/>
      <c r="M110" s="4" t="s">
        <v>20</v>
      </c>
    </row>
    <row r="111" spans="1:13">
      <c r="A111" s="4">
        <v>63</v>
      </c>
      <c r="B111" s="4" t="s">
        <v>414</v>
      </c>
      <c r="C111" s="4" t="s">
        <v>73</v>
      </c>
      <c r="D111" s="4" t="s">
        <v>431</v>
      </c>
      <c r="E111" s="4" t="s">
        <v>431</v>
      </c>
      <c r="F111" s="4" t="s">
        <v>432</v>
      </c>
      <c r="G111" s="4" t="s">
        <v>433</v>
      </c>
      <c r="H111" s="4"/>
      <c r="I111" s="4" t="s">
        <v>16</v>
      </c>
      <c r="J111" s="4"/>
      <c r="K111" s="4"/>
      <c r="L111" s="4"/>
      <c r="M111" s="4" t="s">
        <v>20</v>
      </c>
    </row>
    <row r="113" spans="1:13">
      <c r="A113" s="6" t="s">
        <v>524</v>
      </c>
      <c r="B113" s="6"/>
      <c r="C113" s="6"/>
      <c r="D113" s="6"/>
      <c r="E113" s="6"/>
      <c r="F113" s="6"/>
      <c r="G113" s="6"/>
      <c r="H113" s="6"/>
      <c r="I113" s="6"/>
      <c r="J113" s="6"/>
    </row>
    <row r="114" spans="1:13">
      <c r="A114" s="1" t="s">
        <v>525</v>
      </c>
      <c r="B114" s="1" t="s">
        <v>526</v>
      </c>
      <c r="C114" s="1" t="s">
        <v>459</v>
      </c>
      <c r="D114" s="1" t="s">
        <v>3</v>
      </c>
      <c r="E114" s="1" t="s">
        <v>4</v>
      </c>
      <c r="F114" s="1" t="s">
        <v>511</v>
      </c>
      <c r="G114" s="1" t="s">
        <v>527</v>
      </c>
      <c r="H114" s="1" t="s">
        <v>528</v>
      </c>
      <c r="I114" s="1" t="s">
        <v>529</v>
      </c>
      <c r="J114" s="1" t="s">
        <v>530</v>
      </c>
      <c r="K114" s="1" t="s">
        <v>440</v>
      </c>
    </row>
    <row r="115" spans="1:13">
      <c r="A115" t="s">
        <v>656</v>
      </c>
      <c r="B115" t="s">
        <v>657</v>
      </c>
      <c r="C115" t="s">
        <v>610</v>
      </c>
      <c r="D115" t="s">
        <v>28</v>
      </c>
      <c r="E115" t="s">
        <v>29</v>
      </c>
      <c r="F115" t="s">
        <v>167</v>
      </c>
      <c r="G115" t="s">
        <v>658</v>
      </c>
      <c r="H115" t="s">
        <v>659</v>
      </c>
      <c r="I115" t="s">
        <v>603</v>
      </c>
      <c r="J115" t="s">
        <v>501</v>
      </c>
      <c r="K115" t="s">
        <v>20</v>
      </c>
    </row>
    <row r="116" spans="1:13">
      <c r="A116" t="s">
        <v>660</v>
      </c>
      <c r="B116" t="s">
        <v>661</v>
      </c>
      <c r="C116" t="s">
        <v>662</v>
      </c>
      <c r="D116" t="s">
        <v>16</v>
      </c>
      <c r="E116" t="s">
        <v>29</v>
      </c>
      <c r="F116" t="s">
        <v>663</v>
      </c>
      <c r="G116" t="s">
        <v>658</v>
      </c>
      <c r="H116" t="s">
        <v>664</v>
      </c>
      <c r="I116" t="s">
        <v>603</v>
      </c>
      <c r="J116" t="s">
        <v>501</v>
      </c>
      <c r="K116" t="s">
        <v>20</v>
      </c>
    </row>
    <row r="117" spans="1:13">
      <c r="A117" t="s">
        <v>665</v>
      </c>
      <c r="B117" t="s">
        <v>666</v>
      </c>
      <c r="C117" t="s">
        <v>239</v>
      </c>
      <c r="D117" t="s">
        <v>60</v>
      </c>
      <c r="E117" t="s">
        <v>29</v>
      </c>
      <c r="F117" t="s">
        <v>667</v>
      </c>
      <c r="G117" t="s">
        <v>668</v>
      </c>
      <c r="H117" t="s">
        <v>669</v>
      </c>
      <c r="I117" t="s">
        <v>603</v>
      </c>
      <c r="J117" t="s">
        <v>501</v>
      </c>
      <c r="K117" t="s">
        <v>20</v>
      </c>
    </row>
    <row r="118" spans="1:13">
      <c r="A118" t="s">
        <v>670</v>
      </c>
      <c r="B118" t="s">
        <v>671</v>
      </c>
      <c r="C118" t="s">
        <v>672</v>
      </c>
      <c r="D118" t="s">
        <v>16</v>
      </c>
      <c r="E118" t="s">
        <v>29</v>
      </c>
      <c r="F118" t="s">
        <v>673</v>
      </c>
      <c r="G118" t="s">
        <v>674</v>
      </c>
      <c r="H118" t="s">
        <v>675</v>
      </c>
      <c r="I118" t="s">
        <v>603</v>
      </c>
      <c r="J118" t="s">
        <v>501</v>
      </c>
      <c r="K118" t="s">
        <v>20</v>
      </c>
    </row>
    <row r="120" spans="1:13">
      <c r="A120" s="6" t="s">
        <v>546</v>
      </c>
      <c r="B120" s="6"/>
      <c r="C120" s="6"/>
      <c r="D120" s="6"/>
      <c r="E120" s="6"/>
      <c r="F120" s="6"/>
      <c r="G120" s="6"/>
      <c r="H120" s="6"/>
      <c r="I120" s="6"/>
      <c r="J120" s="6"/>
    </row>
    <row r="121" spans="1:13">
      <c r="A121" s="1" t="s">
        <v>547</v>
      </c>
      <c r="B121" s="1" t="s">
        <v>472</v>
      </c>
      <c r="C121" s="1" t="s">
        <v>548</v>
      </c>
      <c r="D121" s="1" t="s">
        <v>474</v>
      </c>
      <c r="E121" s="1" t="s">
        <v>523</v>
      </c>
      <c r="F121" s="1" t="s">
        <v>511</v>
      </c>
      <c r="G121" s="1" t="s">
        <v>3</v>
      </c>
      <c r="H121" s="1" t="s">
        <v>549</v>
      </c>
      <c r="I121" s="1" t="s">
        <v>550</v>
      </c>
      <c r="J121" s="1" t="s">
        <v>551</v>
      </c>
      <c r="K121" s="1" t="s">
        <v>9</v>
      </c>
      <c r="L121" s="1" t="s">
        <v>552</v>
      </c>
      <c r="M121" s="1" t="s">
        <v>440</v>
      </c>
    </row>
    <row r="122" spans="1:13">
      <c r="A122" t="s">
        <v>676</v>
      </c>
      <c r="B122" t="s">
        <v>677</v>
      </c>
      <c r="C122" t="s">
        <v>678</v>
      </c>
      <c r="D122" t="s">
        <v>679</v>
      </c>
      <c r="E122" t="s">
        <v>610</v>
      </c>
      <c r="F122" t="s">
        <v>167</v>
      </c>
      <c r="G122" t="s">
        <v>60</v>
      </c>
      <c r="H122" t="s">
        <v>680</v>
      </c>
      <c r="I122" t="s">
        <v>665</v>
      </c>
      <c r="J122" t="s">
        <v>666</v>
      </c>
      <c r="K122" t="s">
        <v>22</v>
      </c>
      <c r="M122" t="s">
        <v>20</v>
      </c>
    </row>
    <row r="123" spans="1:13">
      <c r="A123" t="s">
        <v>681</v>
      </c>
      <c r="B123" t="s">
        <v>501</v>
      </c>
      <c r="C123" t="s">
        <v>682</v>
      </c>
      <c r="D123" t="s">
        <v>206</v>
      </c>
      <c r="E123" t="s">
        <v>599</v>
      </c>
      <c r="F123" t="s">
        <v>167</v>
      </c>
      <c r="G123" t="s">
        <v>28</v>
      </c>
      <c r="H123" t="s">
        <v>683</v>
      </c>
      <c r="I123" t="s">
        <v>656</v>
      </c>
      <c r="J123" t="s">
        <v>657</v>
      </c>
      <c r="K123" t="s">
        <v>603</v>
      </c>
      <c r="M123" t="s">
        <v>20</v>
      </c>
    </row>
    <row r="125" spans="1:13">
      <c r="A125" s="6" t="s">
        <v>560</v>
      </c>
      <c r="B125" s="6"/>
      <c r="C125" s="6"/>
      <c r="D125" s="6"/>
      <c r="E125" s="6"/>
      <c r="F125" s="6"/>
      <c r="G125" s="6"/>
      <c r="H125" s="6"/>
      <c r="I125" s="6"/>
      <c r="J125" s="6"/>
    </row>
    <row r="126" spans="1:13">
      <c r="A126" s="1" t="s">
        <v>561</v>
      </c>
      <c r="B126" s="1" t="s">
        <v>13</v>
      </c>
      <c r="C126" s="1" t="s">
        <v>459</v>
      </c>
      <c r="D126" s="1" t="s">
        <v>511</v>
      </c>
      <c r="E126" s="1" t="s">
        <v>3</v>
      </c>
      <c r="F126" s="1" t="s">
        <v>461</v>
      </c>
      <c r="G126" s="1" t="s">
        <v>440</v>
      </c>
    </row>
    <row r="127" spans="1:13">
      <c r="A127" t="s">
        <v>684</v>
      </c>
      <c r="B127" t="s">
        <v>29</v>
      </c>
      <c r="E127" t="s">
        <v>85</v>
      </c>
      <c r="G127" t="s">
        <v>20</v>
      </c>
    </row>
    <row r="128" spans="1:13">
      <c r="A128" t="s">
        <v>685</v>
      </c>
      <c r="B128" t="s">
        <v>29</v>
      </c>
      <c r="E128" t="s">
        <v>85</v>
      </c>
      <c r="G128" t="s">
        <v>20</v>
      </c>
    </row>
  </sheetData>
  <mergeCells count="1">
    <mergeCell ref="A1:J1"/>
  </mergeCells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6"/>
  <sheetViews>
    <sheetView workbookViewId="0">
      <selection sqref="A1:J1"/>
    </sheetView>
  </sheetViews>
  <sheetFormatPr defaultRowHeight="14"/>
  <cols>
    <col min="1" max="1" width="14" customWidth="1"/>
    <col min="2" max="2" width="16" customWidth="1"/>
    <col min="3" max="3" width="28" customWidth="1"/>
    <col min="4" max="4" width="18" customWidth="1"/>
    <col min="5" max="5" width="48" customWidth="1"/>
    <col min="6" max="6" width="28" customWidth="1"/>
    <col min="7" max="8" width="24" customWidth="1"/>
    <col min="9" max="10" width="18" customWidth="1"/>
    <col min="11" max="11" width="16" customWidth="1"/>
    <col min="12" max="12" width="30" customWidth="1"/>
    <col min="13" max="13" width="12" customWidth="1"/>
  </cols>
  <sheetData>
    <row r="1" spans="1:13" ht="18">
      <c r="A1" s="22" t="s">
        <v>686</v>
      </c>
      <c r="B1" s="22"/>
      <c r="C1" s="22"/>
      <c r="D1" s="22"/>
      <c r="E1" s="22"/>
      <c r="F1" s="22"/>
      <c r="G1" s="22"/>
      <c r="H1" s="22"/>
      <c r="I1" s="22"/>
      <c r="J1" s="22"/>
      <c r="K1" s="4"/>
      <c r="L1" s="4"/>
      <c r="M1" s="4"/>
    </row>
    <row r="3" spans="1:13">
      <c r="A3" s="6" t="s">
        <v>492</v>
      </c>
      <c r="B3" s="6"/>
      <c r="C3" s="6"/>
      <c r="D3" s="6"/>
      <c r="E3" s="6"/>
      <c r="F3" s="6"/>
      <c r="G3" s="6"/>
      <c r="H3" s="6"/>
      <c r="I3" s="6"/>
      <c r="J3" s="6"/>
    </row>
    <row r="4" spans="1:13">
      <c r="A4" s="1" t="s">
        <v>493</v>
      </c>
      <c r="B4" s="1" t="s">
        <v>494</v>
      </c>
      <c r="C4" s="1" t="s">
        <v>440</v>
      </c>
      <c r="D4" s="1" t="s">
        <v>461</v>
      </c>
    </row>
    <row r="5" spans="1:13">
      <c r="A5" t="s">
        <v>120</v>
      </c>
      <c r="B5" t="s">
        <v>169</v>
      </c>
      <c r="C5" t="s">
        <v>20</v>
      </c>
    </row>
    <row r="6" spans="1:13">
      <c r="A6" t="s">
        <v>121</v>
      </c>
      <c r="B6" t="s">
        <v>170</v>
      </c>
      <c r="C6" t="s">
        <v>20</v>
      </c>
    </row>
    <row r="7" spans="1:13">
      <c r="A7" t="s">
        <v>122</v>
      </c>
      <c r="B7" t="s">
        <v>171</v>
      </c>
      <c r="C7" t="s">
        <v>20</v>
      </c>
    </row>
    <row r="8" spans="1:13">
      <c r="A8" t="s">
        <v>5</v>
      </c>
      <c r="B8" t="s">
        <v>30</v>
      </c>
      <c r="C8" t="s">
        <v>20</v>
      </c>
    </row>
    <row r="9" spans="1:13">
      <c r="A9" t="s">
        <v>3</v>
      </c>
      <c r="B9" t="s">
        <v>40</v>
      </c>
      <c r="C9" t="s">
        <v>20</v>
      </c>
    </row>
    <row r="10" spans="1:13">
      <c r="A10" t="s">
        <v>4</v>
      </c>
      <c r="B10" t="s">
        <v>41</v>
      </c>
      <c r="C10" t="s">
        <v>20</v>
      </c>
    </row>
    <row r="11" spans="1:13">
      <c r="A11" t="s">
        <v>6</v>
      </c>
      <c r="B11" t="s">
        <v>68</v>
      </c>
      <c r="C11" t="s">
        <v>20</v>
      </c>
    </row>
    <row r="12" spans="1:13">
      <c r="A12" t="s">
        <v>123</v>
      </c>
      <c r="B12" t="s">
        <v>172</v>
      </c>
      <c r="C12" t="s">
        <v>20</v>
      </c>
    </row>
    <row r="13" spans="1:13">
      <c r="A13" t="s">
        <v>124</v>
      </c>
      <c r="B13" t="s">
        <v>173</v>
      </c>
      <c r="C13" t="s">
        <v>20</v>
      </c>
    </row>
    <row r="14" spans="1:13">
      <c r="A14" t="s">
        <v>495</v>
      </c>
      <c r="B14" t="s">
        <v>687</v>
      </c>
      <c r="C14" t="s">
        <v>20</v>
      </c>
    </row>
    <row r="15" spans="1:13">
      <c r="A15" t="s">
        <v>125</v>
      </c>
      <c r="B15" t="s">
        <v>174</v>
      </c>
      <c r="C15" t="s">
        <v>20</v>
      </c>
    </row>
    <row r="16" spans="1:13">
      <c r="A16" t="s">
        <v>126</v>
      </c>
      <c r="B16" t="s">
        <v>152</v>
      </c>
      <c r="C16" t="s">
        <v>20</v>
      </c>
    </row>
    <row r="17" spans="1:10">
      <c r="A17" t="s">
        <v>497</v>
      </c>
      <c r="B17" t="s">
        <v>688</v>
      </c>
      <c r="C17" t="s">
        <v>20</v>
      </c>
    </row>
    <row r="18" spans="1:10">
      <c r="A18" t="s">
        <v>127</v>
      </c>
      <c r="B18" t="s">
        <v>40</v>
      </c>
      <c r="C18" t="s">
        <v>20</v>
      </c>
    </row>
    <row r="19" spans="1:10">
      <c r="A19" t="s">
        <v>128</v>
      </c>
      <c r="B19" t="s">
        <v>20</v>
      </c>
      <c r="C19" t="s">
        <v>20</v>
      </c>
      <c r="D19" t="s">
        <v>499</v>
      </c>
    </row>
    <row r="20" spans="1:10">
      <c r="A20" t="s">
        <v>500</v>
      </c>
      <c r="B20" t="s">
        <v>501</v>
      </c>
      <c r="C20" t="s">
        <v>20</v>
      </c>
    </row>
    <row r="22" spans="1:10">
      <c r="A22" s="6" t="s">
        <v>502</v>
      </c>
      <c r="B22" s="6"/>
      <c r="C22" s="6"/>
      <c r="D22" s="6"/>
      <c r="E22" s="6"/>
      <c r="F22" s="6"/>
      <c r="G22" s="6"/>
      <c r="H22" s="6"/>
      <c r="I22" s="6"/>
      <c r="J22" s="6"/>
    </row>
    <row r="23" spans="1:10">
      <c r="A23" s="1" t="s">
        <v>503</v>
      </c>
      <c r="B23" s="1" t="s">
        <v>3</v>
      </c>
      <c r="C23" s="1" t="s">
        <v>459</v>
      </c>
      <c r="D23" s="1" t="s">
        <v>126</v>
      </c>
      <c r="E23" s="1" t="s">
        <v>461</v>
      </c>
      <c r="F23" s="1" t="s">
        <v>440</v>
      </c>
    </row>
    <row r="24" spans="1:10">
      <c r="A24" t="s">
        <v>504</v>
      </c>
      <c r="F24" t="s">
        <v>20</v>
      </c>
    </row>
    <row r="25" spans="1:10">
      <c r="A25" t="s">
        <v>505</v>
      </c>
      <c r="F25" t="s">
        <v>20</v>
      </c>
    </row>
    <row r="26" spans="1:10">
      <c r="A26" t="s">
        <v>506</v>
      </c>
      <c r="F26" t="s">
        <v>20</v>
      </c>
    </row>
    <row r="27" spans="1:10">
      <c r="A27" t="s">
        <v>507</v>
      </c>
      <c r="F27" t="s">
        <v>20</v>
      </c>
    </row>
    <row r="28" spans="1:10">
      <c r="A28" t="s">
        <v>508</v>
      </c>
      <c r="F28" t="s">
        <v>20</v>
      </c>
    </row>
    <row r="29" spans="1:10">
      <c r="A29" t="s">
        <v>509</v>
      </c>
      <c r="F29" t="s">
        <v>20</v>
      </c>
    </row>
    <row r="31" spans="1:10">
      <c r="A31" s="6" t="s">
        <v>510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s="1" t="s">
        <v>10</v>
      </c>
      <c r="B32" s="1" t="s">
        <v>80</v>
      </c>
      <c r="C32" s="1" t="s">
        <v>3</v>
      </c>
      <c r="D32" s="1" t="s">
        <v>459</v>
      </c>
      <c r="E32" s="1" t="s">
        <v>511</v>
      </c>
      <c r="F32" s="1" t="s">
        <v>461</v>
      </c>
      <c r="G32" s="1" t="s">
        <v>440</v>
      </c>
    </row>
    <row r="33" spans="1:13">
      <c r="A33" t="s">
        <v>23</v>
      </c>
      <c r="B33" t="s">
        <v>32</v>
      </c>
      <c r="C33" t="s">
        <v>16</v>
      </c>
      <c r="G33" t="s">
        <v>20</v>
      </c>
    </row>
    <row r="34" spans="1:13">
      <c r="A34" t="s">
        <v>35</v>
      </c>
      <c r="B34" t="s">
        <v>32</v>
      </c>
      <c r="C34" t="s">
        <v>16</v>
      </c>
      <c r="G34" t="s">
        <v>20</v>
      </c>
    </row>
    <row r="35" spans="1:13">
      <c r="A35" t="s">
        <v>46</v>
      </c>
      <c r="B35" t="s">
        <v>32</v>
      </c>
      <c r="C35" t="s">
        <v>16</v>
      </c>
      <c r="G35" t="s">
        <v>20</v>
      </c>
    </row>
    <row r="36" spans="1:13">
      <c r="A36" t="s">
        <v>56</v>
      </c>
      <c r="B36" t="s">
        <v>32</v>
      </c>
      <c r="C36" t="s">
        <v>16</v>
      </c>
      <c r="G36" t="s">
        <v>20</v>
      </c>
    </row>
    <row r="37" spans="1:13">
      <c r="A37" t="s">
        <v>36</v>
      </c>
      <c r="B37" t="s">
        <v>32</v>
      </c>
      <c r="C37" t="s">
        <v>16</v>
      </c>
      <c r="G37" t="s">
        <v>20</v>
      </c>
    </row>
    <row r="38" spans="1:13">
      <c r="A38" t="s">
        <v>71</v>
      </c>
      <c r="B38" t="s">
        <v>32</v>
      </c>
      <c r="C38" t="s">
        <v>16</v>
      </c>
      <c r="G38" t="s">
        <v>20</v>
      </c>
    </row>
    <row r="40" spans="1:13">
      <c r="A40" s="6" t="s">
        <v>512</v>
      </c>
      <c r="B40" s="6"/>
      <c r="C40" s="6"/>
      <c r="D40" s="6"/>
      <c r="E40" s="6"/>
      <c r="F40" s="6"/>
      <c r="G40" s="6"/>
      <c r="H40" s="6"/>
      <c r="I40" s="6"/>
      <c r="J40" s="6"/>
    </row>
    <row r="41" spans="1:13">
      <c r="A41" s="1" t="s">
        <v>513</v>
      </c>
      <c r="B41" s="1" t="s">
        <v>514</v>
      </c>
      <c r="C41" s="1" t="s">
        <v>515</v>
      </c>
      <c r="D41" s="1" t="s">
        <v>3</v>
      </c>
      <c r="E41" s="1" t="s">
        <v>459</v>
      </c>
      <c r="F41" s="1" t="s">
        <v>126</v>
      </c>
      <c r="G41" s="1" t="s">
        <v>461</v>
      </c>
      <c r="H41" s="1" t="s">
        <v>440</v>
      </c>
    </row>
    <row r="42" spans="1:13">
      <c r="A42" t="s">
        <v>516</v>
      </c>
      <c r="B42">
        <v>0</v>
      </c>
      <c r="C42">
        <v>0</v>
      </c>
      <c r="D42" t="s">
        <v>16</v>
      </c>
      <c r="H42" t="s">
        <v>20</v>
      </c>
    </row>
    <row r="43" spans="1:13">
      <c r="A43" t="s">
        <v>517</v>
      </c>
      <c r="B43">
        <v>0</v>
      </c>
      <c r="C43">
        <v>0</v>
      </c>
      <c r="D43" t="s">
        <v>16</v>
      </c>
      <c r="H43" t="s">
        <v>20</v>
      </c>
    </row>
    <row r="44" spans="1:13">
      <c r="A44" t="s">
        <v>518</v>
      </c>
      <c r="B44">
        <v>0</v>
      </c>
      <c r="C44">
        <v>0</v>
      </c>
      <c r="D44" t="s">
        <v>16</v>
      </c>
      <c r="H44" t="s">
        <v>20</v>
      </c>
    </row>
    <row r="45" spans="1:13">
      <c r="A45" t="s">
        <v>519</v>
      </c>
      <c r="B45">
        <v>0</v>
      </c>
      <c r="C45">
        <v>0</v>
      </c>
      <c r="D45" t="s">
        <v>16</v>
      </c>
      <c r="H45" t="s">
        <v>20</v>
      </c>
    </row>
    <row r="47" spans="1:13">
      <c r="A47" s="6" t="s">
        <v>520</v>
      </c>
      <c r="B47" s="6"/>
      <c r="C47" s="6"/>
      <c r="D47" s="6"/>
      <c r="E47" s="6"/>
      <c r="F47" s="6"/>
      <c r="G47" s="6"/>
      <c r="H47" s="6"/>
      <c r="I47" s="6"/>
      <c r="J47" s="6"/>
    </row>
    <row r="48" spans="1:13">
      <c r="A48" s="7" t="s">
        <v>521</v>
      </c>
      <c r="B48" s="7" t="s">
        <v>190</v>
      </c>
      <c r="C48" s="7" t="s">
        <v>192</v>
      </c>
      <c r="D48" s="7" t="s">
        <v>121</v>
      </c>
      <c r="E48" s="7" t="s">
        <v>522</v>
      </c>
      <c r="F48" s="7" t="s">
        <v>523</v>
      </c>
      <c r="G48" s="7" t="s">
        <v>195</v>
      </c>
      <c r="H48" s="7" t="s">
        <v>196</v>
      </c>
      <c r="I48" s="7" t="s">
        <v>3</v>
      </c>
      <c r="J48" s="7" t="s">
        <v>459</v>
      </c>
      <c r="K48" s="11" t="s">
        <v>511</v>
      </c>
      <c r="L48" s="11" t="s">
        <v>461</v>
      </c>
      <c r="M48" s="11" t="s">
        <v>440</v>
      </c>
    </row>
    <row r="49" spans="1:13">
      <c r="A49" s="4">
        <v>1</v>
      </c>
      <c r="B49" s="4" t="s">
        <v>200</v>
      </c>
      <c r="C49" s="4" t="s">
        <v>25</v>
      </c>
      <c r="D49" s="4" t="s">
        <v>201</v>
      </c>
      <c r="E49" s="4" t="s">
        <v>202</v>
      </c>
      <c r="F49" s="4" t="s">
        <v>178</v>
      </c>
      <c r="G49" s="4"/>
      <c r="H49" s="4" t="s">
        <v>203</v>
      </c>
      <c r="I49" s="4" t="s">
        <v>40</v>
      </c>
      <c r="J49" s="4"/>
      <c r="K49" s="4"/>
      <c r="L49" s="4"/>
      <c r="M49" s="4" t="s">
        <v>20</v>
      </c>
    </row>
    <row r="50" spans="1:13">
      <c r="A50" s="4">
        <v>2</v>
      </c>
      <c r="B50" s="4" t="s">
        <v>203</v>
      </c>
      <c r="C50" s="4" t="s">
        <v>25</v>
      </c>
      <c r="D50" s="4" t="s">
        <v>204</v>
      </c>
      <c r="E50" s="4" t="s">
        <v>205</v>
      </c>
      <c r="F50" s="4" t="s">
        <v>206</v>
      </c>
      <c r="G50" s="4" t="s">
        <v>200</v>
      </c>
      <c r="H50" s="4" t="s">
        <v>207</v>
      </c>
      <c r="I50" s="4" t="s">
        <v>16</v>
      </c>
      <c r="J50" s="4"/>
      <c r="K50" s="4"/>
      <c r="L50" s="4"/>
      <c r="M50" s="4" t="s">
        <v>20</v>
      </c>
    </row>
    <row r="51" spans="1:13">
      <c r="A51" s="4">
        <v>3</v>
      </c>
      <c r="B51" s="4" t="s">
        <v>207</v>
      </c>
      <c r="C51" s="4" t="s">
        <v>25</v>
      </c>
      <c r="D51" s="4" t="s">
        <v>208</v>
      </c>
      <c r="E51" s="4" t="s">
        <v>209</v>
      </c>
      <c r="F51" s="4" t="s">
        <v>206</v>
      </c>
      <c r="G51" s="4" t="s">
        <v>203</v>
      </c>
      <c r="H51" s="4" t="s">
        <v>210</v>
      </c>
      <c r="I51" s="4" t="s">
        <v>16</v>
      </c>
      <c r="J51" s="4"/>
      <c r="K51" s="4"/>
      <c r="L51" s="4"/>
      <c r="M51" s="4" t="s">
        <v>20</v>
      </c>
    </row>
    <row r="52" spans="1:13">
      <c r="A52" s="4">
        <v>4</v>
      </c>
      <c r="B52" s="4" t="s">
        <v>210</v>
      </c>
      <c r="C52" s="4" t="s">
        <v>25</v>
      </c>
      <c r="D52" s="4" t="s">
        <v>211</v>
      </c>
      <c r="E52" s="4" t="s">
        <v>212</v>
      </c>
      <c r="F52" s="4" t="s">
        <v>178</v>
      </c>
      <c r="G52" s="4" t="s">
        <v>207</v>
      </c>
      <c r="H52" s="4" t="s">
        <v>213</v>
      </c>
      <c r="I52" s="4" t="s">
        <v>16</v>
      </c>
      <c r="J52" s="4"/>
      <c r="K52" s="4"/>
      <c r="L52" s="4"/>
      <c r="M52" s="4" t="s">
        <v>20</v>
      </c>
    </row>
    <row r="53" spans="1:13" ht="28">
      <c r="A53" s="4">
        <v>5</v>
      </c>
      <c r="B53" s="4" t="s">
        <v>214</v>
      </c>
      <c r="C53" s="4" t="s">
        <v>25</v>
      </c>
      <c r="D53" s="4" t="s">
        <v>215</v>
      </c>
      <c r="E53" s="4" t="s">
        <v>216</v>
      </c>
      <c r="F53" s="4" t="s">
        <v>217</v>
      </c>
      <c r="G53" s="4" t="s">
        <v>210</v>
      </c>
      <c r="H53" s="4" t="s">
        <v>218</v>
      </c>
      <c r="I53" s="4" t="s">
        <v>16</v>
      </c>
      <c r="J53" s="4"/>
      <c r="K53" s="4"/>
      <c r="L53" s="4"/>
      <c r="M53" s="4" t="s">
        <v>20</v>
      </c>
    </row>
    <row r="54" spans="1:13">
      <c r="A54" s="4">
        <v>6</v>
      </c>
      <c r="B54" s="4" t="s">
        <v>219</v>
      </c>
      <c r="C54" s="4" t="s">
        <v>25</v>
      </c>
      <c r="D54" s="4" t="s">
        <v>220</v>
      </c>
      <c r="E54" s="4" t="s">
        <v>221</v>
      </c>
      <c r="F54" s="4" t="s">
        <v>217</v>
      </c>
      <c r="G54" s="4" t="s">
        <v>207</v>
      </c>
      <c r="H54" s="4" t="s">
        <v>222</v>
      </c>
      <c r="I54" s="4" t="s">
        <v>16</v>
      </c>
      <c r="J54" s="4"/>
      <c r="K54" s="4"/>
      <c r="L54" s="4"/>
      <c r="M54" s="4" t="s">
        <v>20</v>
      </c>
    </row>
    <row r="55" spans="1:13" ht="28">
      <c r="A55" s="4">
        <v>7</v>
      </c>
      <c r="B55" s="4" t="s">
        <v>223</v>
      </c>
      <c r="C55" s="4" t="s">
        <v>25</v>
      </c>
      <c r="D55" s="4" t="s">
        <v>224</v>
      </c>
      <c r="E55" s="4" t="s">
        <v>225</v>
      </c>
      <c r="F55" s="4" t="s">
        <v>226</v>
      </c>
      <c r="G55" s="4" t="s">
        <v>210</v>
      </c>
      <c r="H55" s="4" t="s">
        <v>227</v>
      </c>
      <c r="I55" s="4" t="s">
        <v>16</v>
      </c>
      <c r="J55" s="4"/>
      <c r="K55" s="4"/>
      <c r="L55" s="4"/>
      <c r="M55" s="4" t="s">
        <v>20</v>
      </c>
    </row>
    <row r="56" spans="1:13">
      <c r="A56" s="4">
        <v>8</v>
      </c>
      <c r="B56" s="4" t="s">
        <v>228</v>
      </c>
      <c r="C56" s="4" t="s">
        <v>25</v>
      </c>
      <c r="D56" s="4" t="s">
        <v>229</v>
      </c>
      <c r="E56" s="4" t="s">
        <v>230</v>
      </c>
      <c r="F56" s="4" t="s">
        <v>231</v>
      </c>
      <c r="G56" s="4" t="s">
        <v>214</v>
      </c>
      <c r="H56" s="4" t="s">
        <v>232</v>
      </c>
      <c r="I56" s="4" t="s">
        <v>16</v>
      </c>
      <c r="J56" s="4"/>
      <c r="K56" s="4"/>
      <c r="L56" s="4"/>
      <c r="M56" s="4" t="s">
        <v>20</v>
      </c>
    </row>
    <row r="57" spans="1:13">
      <c r="A57" s="4">
        <v>9</v>
      </c>
      <c r="B57" s="4" t="s">
        <v>233</v>
      </c>
      <c r="C57" s="4" t="s">
        <v>25</v>
      </c>
      <c r="D57" s="4" t="s">
        <v>234</v>
      </c>
      <c r="E57" s="4" t="s">
        <v>235</v>
      </c>
      <c r="F57" s="4" t="s">
        <v>206</v>
      </c>
      <c r="G57" s="4" t="s">
        <v>214</v>
      </c>
      <c r="H57" s="4" t="s">
        <v>232</v>
      </c>
      <c r="I57" s="4" t="s">
        <v>16</v>
      </c>
      <c r="J57" s="4"/>
      <c r="K57" s="4"/>
      <c r="L57" s="4"/>
      <c r="M57" s="4" t="s">
        <v>20</v>
      </c>
    </row>
    <row r="58" spans="1:13" ht="28">
      <c r="A58" s="4">
        <v>10</v>
      </c>
      <c r="B58" s="4" t="s">
        <v>236</v>
      </c>
      <c r="C58" s="4" t="s">
        <v>37</v>
      </c>
      <c r="D58" s="4" t="s">
        <v>237</v>
      </c>
      <c r="E58" s="4" t="s">
        <v>238</v>
      </c>
      <c r="F58" s="4" t="s">
        <v>239</v>
      </c>
      <c r="G58" s="4" t="s">
        <v>219</v>
      </c>
      <c r="H58" s="4" t="s">
        <v>240</v>
      </c>
      <c r="I58" s="4" t="s">
        <v>16</v>
      </c>
      <c r="J58" s="4"/>
      <c r="K58" s="4"/>
      <c r="L58" s="4"/>
      <c r="M58" s="4" t="s">
        <v>20</v>
      </c>
    </row>
    <row r="59" spans="1:13" ht="28">
      <c r="A59" s="4">
        <v>11</v>
      </c>
      <c r="B59" s="4" t="s">
        <v>241</v>
      </c>
      <c r="C59" s="4" t="s">
        <v>37</v>
      </c>
      <c r="D59" s="4" t="s">
        <v>242</v>
      </c>
      <c r="E59" s="4" t="s">
        <v>243</v>
      </c>
      <c r="F59" s="4" t="s">
        <v>239</v>
      </c>
      <c r="G59" s="4" t="s">
        <v>219</v>
      </c>
      <c r="H59" s="4" t="s">
        <v>244</v>
      </c>
      <c r="I59" s="4" t="s">
        <v>16</v>
      </c>
      <c r="J59" s="4"/>
      <c r="K59" s="4"/>
      <c r="L59" s="4"/>
      <c r="M59" s="4" t="s">
        <v>20</v>
      </c>
    </row>
    <row r="60" spans="1:13" ht="28">
      <c r="A60" s="4">
        <v>12</v>
      </c>
      <c r="B60" s="4" t="s">
        <v>245</v>
      </c>
      <c r="C60" s="4" t="s">
        <v>37</v>
      </c>
      <c r="D60" s="4" t="s">
        <v>246</v>
      </c>
      <c r="E60" s="4" t="s">
        <v>247</v>
      </c>
      <c r="F60" s="4" t="s">
        <v>248</v>
      </c>
      <c r="G60" s="4" t="s">
        <v>241</v>
      </c>
      <c r="H60" s="4" t="s">
        <v>249</v>
      </c>
      <c r="I60" s="4" t="s">
        <v>16</v>
      </c>
      <c r="J60" s="4"/>
      <c r="K60" s="4"/>
      <c r="L60" s="4"/>
      <c r="M60" s="4" t="s">
        <v>20</v>
      </c>
    </row>
    <row r="61" spans="1:13" ht="28">
      <c r="A61" s="4">
        <v>13</v>
      </c>
      <c r="B61" s="4" t="s">
        <v>250</v>
      </c>
      <c r="C61" s="4" t="s">
        <v>37</v>
      </c>
      <c r="D61" s="4" t="s">
        <v>251</v>
      </c>
      <c r="E61" s="4" t="s">
        <v>252</v>
      </c>
      <c r="F61" s="4" t="s">
        <v>248</v>
      </c>
      <c r="G61" s="4" t="s">
        <v>245</v>
      </c>
      <c r="H61" s="4" t="s">
        <v>253</v>
      </c>
      <c r="I61" s="4" t="s">
        <v>16</v>
      </c>
      <c r="J61" s="4"/>
      <c r="K61" s="4"/>
      <c r="L61" s="4"/>
      <c r="M61" s="4" t="s">
        <v>20</v>
      </c>
    </row>
    <row r="62" spans="1:13" ht="28">
      <c r="A62" s="4">
        <v>14</v>
      </c>
      <c r="B62" s="4" t="s">
        <v>254</v>
      </c>
      <c r="C62" s="4" t="s">
        <v>37</v>
      </c>
      <c r="D62" s="4" t="s">
        <v>255</v>
      </c>
      <c r="E62" s="4" t="s">
        <v>256</v>
      </c>
      <c r="F62" s="4" t="s">
        <v>257</v>
      </c>
      <c r="G62" s="4" t="s">
        <v>250</v>
      </c>
      <c r="H62" s="4" t="s">
        <v>258</v>
      </c>
      <c r="I62" s="4" t="s">
        <v>16</v>
      </c>
      <c r="J62" s="4"/>
      <c r="K62" s="4"/>
      <c r="L62" s="4"/>
      <c r="M62" s="4" t="s">
        <v>20</v>
      </c>
    </row>
    <row r="63" spans="1:13" ht="28">
      <c r="A63" s="4">
        <v>15</v>
      </c>
      <c r="B63" s="4" t="s">
        <v>240</v>
      </c>
      <c r="C63" s="4" t="s">
        <v>48</v>
      </c>
      <c r="D63" s="4" t="s">
        <v>259</v>
      </c>
      <c r="E63" s="4" t="s">
        <v>260</v>
      </c>
      <c r="F63" s="4" t="s">
        <v>226</v>
      </c>
      <c r="G63" s="4" t="s">
        <v>261</v>
      </c>
      <c r="H63" s="4" t="s">
        <v>262</v>
      </c>
      <c r="I63" s="4" t="s">
        <v>16</v>
      </c>
      <c r="J63" s="4"/>
      <c r="K63" s="4"/>
      <c r="L63" s="4"/>
      <c r="M63" s="4" t="s">
        <v>20</v>
      </c>
    </row>
    <row r="64" spans="1:13" ht="28">
      <c r="A64" s="4">
        <v>16</v>
      </c>
      <c r="B64" s="4" t="s">
        <v>262</v>
      </c>
      <c r="C64" s="4" t="s">
        <v>48</v>
      </c>
      <c r="D64" s="4" t="s">
        <v>263</v>
      </c>
      <c r="E64" s="4" t="s">
        <v>264</v>
      </c>
      <c r="F64" s="4" t="s">
        <v>239</v>
      </c>
      <c r="G64" s="4" t="s">
        <v>240</v>
      </c>
      <c r="H64" s="4" t="s">
        <v>265</v>
      </c>
      <c r="I64" s="4" t="s">
        <v>16</v>
      </c>
      <c r="J64" s="4"/>
      <c r="K64" s="4"/>
      <c r="L64" s="4"/>
      <c r="M64" s="4" t="s">
        <v>20</v>
      </c>
    </row>
    <row r="65" spans="1:13">
      <c r="A65" s="4">
        <v>17</v>
      </c>
      <c r="B65" s="4" t="s">
        <v>266</v>
      </c>
      <c r="C65" s="4" t="s">
        <v>48</v>
      </c>
      <c r="D65" s="4" t="s">
        <v>267</v>
      </c>
      <c r="E65" s="4" t="s">
        <v>268</v>
      </c>
      <c r="F65" s="4" t="s">
        <v>239</v>
      </c>
      <c r="G65" s="4" t="s">
        <v>269</v>
      </c>
      <c r="H65" s="4" t="s">
        <v>270</v>
      </c>
      <c r="I65" s="4" t="s">
        <v>16</v>
      </c>
      <c r="J65" s="4"/>
      <c r="K65" s="4"/>
      <c r="L65" s="4"/>
      <c r="M65" s="4" t="s">
        <v>20</v>
      </c>
    </row>
    <row r="66" spans="1:13">
      <c r="A66" s="4">
        <v>18</v>
      </c>
      <c r="B66" s="4" t="s">
        <v>271</v>
      </c>
      <c r="C66" s="4" t="s">
        <v>48</v>
      </c>
      <c r="D66" s="4" t="s">
        <v>272</v>
      </c>
      <c r="E66" s="4" t="s">
        <v>273</v>
      </c>
      <c r="F66" s="4" t="s">
        <v>274</v>
      </c>
      <c r="G66" s="4" t="s">
        <v>275</v>
      </c>
      <c r="H66" s="4" t="s">
        <v>276</v>
      </c>
      <c r="I66" s="4" t="s">
        <v>16</v>
      </c>
      <c r="J66" s="4"/>
      <c r="K66" s="4"/>
      <c r="L66" s="4"/>
      <c r="M66" s="4" t="s">
        <v>20</v>
      </c>
    </row>
    <row r="67" spans="1:13">
      <c r="A67" s="4">
        <v>19</v>
      </c>
      <c r="B67" s="4" t="s">
        <v>277</v>
      </c>
      <c r="C67" s="4" t="s">
        <v>48</v>
      </c>
      <c r="D67" s="4" t="s">
        <v>278</v>
      </c>
      <c r="E67" s="4" t="s">
        <v>279</v>
      </c>
      <c r="F67" s="4" t="s">
        <v>274</v>
      </c>
      <c r="G67" s="4" t="s">
        <v>271</v>
      </c>
      <c r="H67" s="4" t="s">
        <v>280</v>
      </c>
      <c r="I67" s="4" t="s">
        <v>16</v>
      </c>
      <c r="J67" s="4"/>
      <c r="K67" s="4"/>
      <c r="L67" s="4"/>
      <c r="M67" s="4" t="s">
        <v>20</v>
      </c>
    </row>
    <row r="68" spans="1:13">
      <c r="A68" s="4">
        <v>20</v>
      </c>
      <c r="B68" s="4" t="s">
        <v>280</v>
      </c>
      <c r="C68" s="4" t="s">
        <v>48</v>
      </c>
      <c r="D68" s="4" t="s">
        <v>281</v>
      </c>
      <c r="E68" s="4" t="s">
        <v>282</v>
      </c>
      <c r="F68" s="4" t="s">
        <v>283</v>
      </c>
      <c r="G68" s="4" t="s">
        <v>277</v>
      </c>
      <c r="H68" s="4" t="s">
        <v>284</v>
      </c>
      <c r="I68" s="4" t="s">
        <v>16</v>
      </c>
      <c r="J68" s="4"/>
      <c r="K68" s="4"/>
      <c r="L68" s="4"/>
      <c r="M68" s="4" t="s">
        <v>20</v>
      </c>
    </row>
    <row r="69" spans="1:13">
      <c r="A69" s="4">
        <v>21</v>
      </c>
      <c r="B69" s="4" t="s">
        <v>285</v>
      </c>
      <c r="C69" s="4" t="s">
        <v>48</v>
      </c>
      <c r="D69" s="4" t="s">
        <v>286</v>
      </c>
      <c r="E69" s="4" t="s">
        <v>287</v>
      </c>
      <c r="F69" s="4" t="s">
        <v>206</v>
      </c>
      <c r="G69" s="4" t="s">
        <v>265</v>
      </c>
      <c r="H69" s="4" t="s">
        <v>288</v>
      </c>
      <c r="I69" s="4" t="s">
        <v>16</v>
      </c>
      <c r="J69" s="4"/>
      <c r="K69" s="4"/>
      <c r="L69" s="4"/>
      <c r="M69" s="4" t="s">
        <v>20</v>
      </c>
    </row>
    <row r="70" spans="1:13">
      <c r="A70" s="4">
        <v>22</v>
      </c>
      <c r="B70" s="4" t="s">
        <v>288</v>
      </c>
      <c r="C70" s="4" t="s">
        <v>48</v>
      </c>
      <c r="D70" s="4" t="s">
        <v>289</v>
      </c>
      <c r="E70" s="4" t="s">
        <v>290</v>
      </c>
      <c r="F70" s="4" t="s">
        <v>239</v>
      </c>
      <c r="G70" s="4" t="s">
        <v>285</v>
      </c>
      <c r="H70" s="4" t="s">
        <v>291</v>
      </c>
      <c r="I70" s="4" t="s">
        <v>16</v>
      </c>
      <c r="J70" s="4"/>
      <c r="K70" s="4"/>
      <c r="L70" s="4"/>
      <c r="M70" s="4" t="s">
        <v>20</v>
      </c>
    </row>
    <row r="71" spans="1:13" ht="28">
      <c r="A71" s="4">
        <v>23</v>
      </c>
      <c r="B71" s="4" t="s">
        <v>291</v>
      </c>
      <c r="C71" s="4" t="s">
        <v>48</v>
      </c>
      <c r="D71" s="4" t="s">
        <v>292</v>
      </c>
      <c r="E71" s="4" t="s">
        <v>293</v>
      </c>
      <c r="F71" s="4" t="s">
        <v>206</v>
      </c>
      <c r="G71" s="4" t="s">
        <v>288</v>
      </c>
      <c r="H71" s="4" t="s">
        <v>294</v>
      </c>
      <c r="I71" s="4" t="s">
        <v>16</v>
      </c>
      <c r="J71" s="4"/>
      <c r="K71" s="4"/>
      <c r="L71" s="4"/>
      <c r="M71" s="4" t="s">
        <v>20</v>
      </c>
    </row>
    <row r="72" spans="1:13" ht="28">
      <c r="A72" s="4">
        <v>24</v>
      </c>
      <c r="B72" s="4" t="s">
        <v>294</v>
      </c>
      <c r="C72" s="4" t="s">
        <v>48</v>
      </c>
      <c r="D72" s="4" t="s">
        <v>295</v>
      </c>
      <c r="E72" s="4" t="s">
        <v>296</v>
      </c>
      <c r="F72" s="4" t="s">
        <v>297</v>
      </c>
      <c r="G72" s="4" t="s">
        <v>298</v>
      </c>
      <c r="H72" s="4" t="s">
        <v>299</v>
      </c>
      <c r="I72" s="4" t="s">
        <v>16</v>
      </c>
      <c r="J72" s="4"/>
      <c r="K72" s="4"/>
      <c r="L72" s="4"/>
      <c r="M72" s="4" t="s">
        <v>20</v>
      </c>
    </row>
    <row r="73" spans="1:13">
      <c r="A73" s="4">
        <v>25</v>
      </c>
      <c r="B73" s="4" t="s">
        <v>299</v>
      </c>
      <c r="C73" s="4" t="s">
        <v>48</v>
      </c>
      <c r="D73" s="4" t="s">
        <v>300</v>
      </c>
      <c r="E73" s="4" t="s">
        <v>301</v>
      </c>
      <c r="F73" s="4" t="s">
        <v>302</v>
      </c>
      <c r="G73" s="4" t="s">
        <v>294</v>
      </c>
      <c r="H73" s="4" t="s">
        <v>303</v>
      </c>
      <c r="I73" s="4" t="s">
        <v>16</v>
      </c>
      <c r="J73" s="4"/>
      <c r="K73" s="4"/>
      <c r="L73" s="4"/>
      <c r="M73" s="4" t="s">
        <v>20</v>
      </c>
    </row>
    <row r="74" spans="1:13">
      <c r="A74" s="4">
        <v>26</v>
      </c>
      <c r="B74" s="4" t="s">
        <v>304</v>
      </c>
      <c r="C74" s="4" t="s">
        <v>58</v>
      </c>
      <c r="D74" s="4" t="s">
        <v>305</v>
      </c>
      <c r="E74" s="4" t="s">
        <v>306</v>
      </c>
      <c r="F74" s="4" t="s">
        <v>239</v>
      </c>
      <c r="G74" s="4" t="s">
        <v>299</v>
      </c>
      <c r="H74" s="4" t="s">
        <v>307</v>
      </c>
      <c r="I74" s="4" t="s">
        <v>16</v>
      </c>
      <c r="J74" s="4"/>
      <c r="K74" s="4"/>
      <c r="L74" s="4"/>
      <c r="M74" s="4" t="s">
        <v>20</v>
      </c>
    </row>
    <row r="75" spans="1:13">
      <c r="A75" s="4">
        <v>27</v>
      </c>
      <c r="B75" s="4" t="s">
        <v>308</v>
      </c>
      <c r="C75" s="4" t="s">
        <v>58</v>
      </c>
      <c r="D75" s="4" t="s">
        <v>309</v>
      </c>
      <c r="E75" s="4" t="s">
        <v>310</v>
      </c>
      <c r="F75" s="4" t="s">
        <v>311</v>
      </c>
      <c r="G75" s="4" t="s">
        <v>304</v>
      </c>
      <c r="H75" s="4" t="s">
        <v>312</v>
      </c>
      <c r="I75" s="4" t="s">
        <v>16</v>
      </c>
      <c r="J75" s="4"/>
      <c r="K75" s="4"/>
      <c r="L75" s="4"/>
      <c r="M75" s="4" t="s">
        <v>20</v>
      </c>
    </row>
    <row r="76" spans="1:13" ht="28">
      <c r="A76" s="4">
        <v>28</v>
      </c>
      <c r="B76" s="4" t="s">
        <v>313</v>
      </c>
      <c r="C76" s="4" t="s">
        <v>58</v>
      </c>
      <c r="D76" s="4" t="s">
        <v>314</v>
      </c>
      <c r="E76" s="4" t="s">
        <v>315</v>
      </c>
      <c r="F76" s="4" t="s">
        <v>206</v>
      </c>
      <c r="G76" s="4" t="s">
        <v>299</v>
      </c>
      <c r="H76" s="4" t="s">
        <v>312</v>
      </c>
      <c r="I76" s="4" t="s">
        <v>16</v>
      </c>
      <c r="J76" s="4"/>
      <c r="K76" s="4"/>
      <c r="L76" s="4"/>
      <c r="M76" s="4" t="s">
        <v>20</v>
      </c>
    </row>
    <row r="77" spans="1:13">
      <c r="A77" s="4">
        <v>29</v>
      </c>
      <c r="B77" s="4" t="s">
        <v>312</v>
      </c>
      <c r="C77" s="4" t="s">
        <v>58</v>
      </c>
      <c r="D77" s="4" t="s">
        <v>316</v>
      </c>
      <c r="E77" s="4" t="s">
        <v>317</v>
      </c>
      <c r="F77" s="4" t="s">
        <v>248</v>
      </c>
      <c r="G77" s="4" t="s">
        <v>318</v>
      </c>
      <c r="H77" s="4" t="s">
        <v>319</v>
      </c>
      <c r="I77" s="4" t="s">
        <v>16</v>
      </c>
      <c r="J77" s="4"/>
      <c r="K77" s="4"/>
      <c r="L77" s="4"/>
      <c r="M77" s="4" t="s">
        <v>20</v>
      </c>
    </row>
    <row r="78" spans="1:13" ht="28">
      <c r="A78" s="4">
        <v>30</v>
      </c>
      <c r="B78" s="4" t="s">
        <v>319</v>
      </c>
      <c r="C78" s="4" t="s">
        <v>58</v>
      </c>
      <c r="D78" s="4" t="s">
        <v>259</v>
      </c>
      <c r="E78" s="4" t="s">
        <v>320</v>
      </c>
      <c r="F78" s="4" t="s">
        <v>226</v>
      </c>
      <c r="G78" s="4" t="s">
        <v>321</v>
      </c>
      <c r="H78" s="4" t="s">
        <v>322</v>
      </c>
      <c r="I78" s="4" t="s">
        <v>16</v>
      </c>
      <c r="J78" s="4"/>
      <c r="K78" s="4"/>
      <c r="L78" s="4"/>
      <c r="M78" s="4" t="s">
        <v>20</v>
      </c>
    </row>
    <row r="79" spans="1:13" ht="28">
      <c r="A79" s="4">
        <v>31</v>
      </c>
      <c r="B79" s="4" t="s">
        <v>322</v>
      </c>
      <c r="C79" s="4" t="s">
        <v>58</v>
      </c>
      <c r="D79" s="4" t="s">
        <v>263</v>
      </c>
      <c r="E79" s="4" t="s">
        <v>323</v>
      </c>
      <c r="F79" s="4" t="s">
        <v>239</v>
      </c>
      <c r="G79" s="4" t="s">
        <v>319</v>
      </c>
      <c r="H79" s="4" t="s">
        <v>324</v>
      </c>
      <c r="I79" s="4" t="s">
        <v>16</v>
      </c>
      <c r="J79" s="4"/>
      <c r="K79" s="4"/>
      <c r="L79" s="4"/>
      <c r="M79" s="4" t="s">
        <v>20</v>
      </c>
    </row>
    <row r="80" spans="1:13">
      <c r="A80" s="4">
        <v>32</v>
      </c>
      <c r="B80" s="4" t="s">
        <v>325</v>
      </c>
      <c r="C80" s="4" t="s">
        <v>58</v>
      </c>
      <c r="D80" s="4" t="s">
        <v>326</v>
      </c>
      <c r="E80" s="4" t="s">
        <v>327</v>
      </c>
      <c r="F80" s="4" t="s">
        <v>239</v>
      </c>
      <c r="G80" s="4" t="s">
        <v>328</v>
      </c>
      <c r="H80" s="4" t="s">
        <v>329</v>
      </c>
      <c r="I80" s="4" t="s">
        <v>16</v>
      </c>
      <c r="J80" s="4"/>
      <c r="K80" s="4"/>
      <c r="L80" s="4"/>
      <c r="M80" s="4" t="s">
        <v>20</v>
      </c>
    </row>
    <row r="81" spans="1:13">
      <c r="A81" s="4">
        <v>33</v>
      </c>
      <c r="B81" s="4" t="s">
        <v>330</v>
      </c>
      <c r="C81" s="4" t="s">
        <v>58</v>
      </c>
      <c r="D81" s="4" t="s">
        <v>331</v>
      </c>
      <c r="E81" s="4" t="s">
        <v>332</v>
      </c>
      <c r="F81" s="4" t="s">
        <v>274</v>
      </c>
      <c r="G81" s="4" t="s">
        <v>333</v>
      </c>
      <c r="H81" s="4" t="s">
        <v>334</v>
      </c>
      <c r="I81" s="4" t="s">
        <v>16</v>
      </c>
      <c r="J81" s="4"/>
      <c r="K81" s="4"/>
      <c r="L81" s="4"/>
      <c r="M81" s="4" t="s">
        <v>20</v>
      </c>
    </row>
    <row r="82" spans="1:13">
      <c r="A82" s="4">
        <v>34</v>
      </c>
      <c r="B82" s="4" t="s">
        <v>335</v>
      </c>
      <c r="C82" s="4" t="s">
        <v>58</v>
      </c>
      <c r="D82" s="4" t="s">
        <v>278</v>
      </c>
      <c r="E82" s="4" t="s">
        <v>336</v>
      </c>
      <c r="F82" s="4" t="s">
        <v>274</v>
      </c>
      <c r="G82" s="4" t="s">
        <v>330</v>
      </c>
      <c r="H82" s="4" t="s">
        <v>337</v>
      </c>
      <c r="I82" s="4" t="s">
        <v>16</v>
      </c>
      <c r="J82" s="4"/>
      <c r="K82" s="4"/>
      <c r="L82" s="4"/>
      <c r="M82" s="4" t="s">
        <v>20</v>
      </c>
    </row>
    <row r="83" spans="1:13">
      <c r="A83" s="4">
        <v>35</v>
      </c>
      <c r="B83" s="4" t="s">
        <v>337</v>
      </c>
      <c r="C83" s="4" t="s">
        <v>58</v>
      </c>
      <c r="D83" s="4" t="s">
        <v>281</v>
      </c>
      <c r="E83" s="4" t="s">
        <v>338</v>
      </c>
      <c r="F83" s="4" t="s">
        <v>283</v>
      </c>
      <c r="G83" s="4" t="s">
        <v>335</v>
      </c>
      <c r="H83" s="4" t="s">
        <v>339</v>
      </c>
      <c r="I83" s="4" t="s">
        <v>16</v>
      </c>
      <c r="J83" s="4"/>
      <c r="K83" s="4"/>
      <c r="L83" s="4"/>
      <c r="M83" s="4" t="s">
        <v>20</v>
      </c>
    </row>
    <row r="84" spans="1:13">
      <c r="A84" s="4">
        <v>36</v>
      </c>
      <c r="B84" s="4" t="s">
        <v>340</v>
      </c>
      <c r="C84" s="4" t="s">
        <v>58</v>
      </c>
      <c r="D84" s="4" t="s">
        <v>286</v>
      </c>
      <c r="E84" s="4" t="s">
        <v>341</v>
      </c>
      <c r="F84" s="4" t="s">
        <v>206</v>
      </c>
      <c r="G84" s="4" t="s">
        <v>324</v>
      </c>
      <c r="H84" s="4" t="s">
        <v>342</v>
      </c>
      <c r="I84" s="4" t="s">
        <v>16</v>
      </c>
      <c r="J84" s="4"/>
      <c r="K84" s="4"/>
      <c r="L84" s="4"/>
      <c r="M84" s="4" t="s">
        <v>20</v>
      </c>
    </row>
    <row r="85" spans="1:13">
      <c r="A85" s="4">
        <v>37</v>
      </c>
      <c r="B85" s="4" t="s">
        <v>342</v>
      </c>
      <c r="C85" s="4" t="s">
        <v>58</v>
      </c>
      <c r="D85" s="4" t="s">
        <v>289</v>
      </c>
      <c r="E85" s="4" t="s">
        <v>343</v>
      </c>
      <c r="F85" s="4" t="s">
        <v>239</v>
      </c>
      <c r="G85" s="4" t="s">
        <v>340</v>
      </c>
      <c r="H85" s="4" t="s">
        <v>344</v>
      </c>
      <c r="I85" s="4" t="s">
        <v>16</v>
      </c>
      <c r="J85" s="4"/>
      <c r="K85" s="4"/>
      <c r="L85" s="4"/>
      <c r="M85" s="4" t="s">
        <v>20</v>
      </c>
    </row>
    <row r="86" spans="1:13" ht="28">
      <c r="A86" s="4">
        <v>38</v>
      </c>
      <c r="B86" s="4" t="s">
        <v>344</v>
      </c>
      <c r="C86" s="4" t="s">
        <v>58</v>
      </c>
      <c r="D86" s="4" t="s">
        <v>292</v>
      </c>
      <c r="E86" s="4" t="s">
        <v>345</v>
      </c>
      <c r="F86" s="4" t="s">
        <v>206</v>
      </c>
      <c r="G86" s="4" t="s">
        <v>342</v>
      </c>
      <c r="H86" s="4" t="s">
        <v>346</v>
      </c>
      <c r="I86" s="4" t="s">
        <v>16</v>
      </c>
      <c r="J86" s="4"/>
      <c r="K86" s="4"/>
      <c r="L86" s="4"/>
      <c r="M86" s="4" t="s">
        <v>20</v>
      </c>
    </row>
    <row r="87" spans="1:13" ht="28">
      <c r="A87" s="4">
        <v>39</v>
      </c>
      <c r="B87" s="4" t="s">
        <v>346</v>
      </c>
      <c r="C87" s="4" t="s">
        <v>58</v>
      </c>
      <c r="D87" s="4" t="s">
        <v>295</v>
      </c>
      <c r="E87" s="4" t="s">
        <v>347</v>
      </c>
      <c r="F87" s="4" t="s">
        <v>297</v>
      </c>
      <c r="G87" s="4" t="s">
        <v>348</v>
      </c>
      <c r="H87" s="4" t="s">
        <v>349</v>
      </c>
      <c r="I87" s="4" t="s">
        <v>16</v>
      </c>
      <c r="J87" s="4"/>
      <c r="K87" s="4"/>
      <c r="L87" s="4"/>
      <c r="M87" s="4" t="s">
        <v>20</v>
      </c>
    </row>
    <row r="88" spans="1:13">
      <c r="A88" s="4">
        <v>40</v>
      </c>
      <c r="B88" s="4" t="s">
        <v>349</v>
      </c>
      <c r="C88" s="4" t="s">
        <v>58</v>
      </c>
      <c r="D88" s="4" t="s">
        <v>350</v>
      </c>
      <c r="E88" s="4" t="s">
        <v>351</v>
      </c>
      <c r="F88" s="4" t="s">
        <v>302</v>
      </c>
      <c r="G88" s="4" t="s">
        <v>346</v>
      </c>
      <c r="H88" s="4" t="s">
        <v>352</v>
      </c>
      <c r="I88" s="4" t="s">
        <v>16</v>
      </c>
      <c r="J88" s="4"/>
      <c r="K88" s="4"/>
      <c r="L88" s="4"/>
      <c r="M88" s="4" t="s">
        <v>20</v>
      </c>
    </row>
    <row r="89" spans="1:13">
      <c r="A89" s="4">
        <v>41</v>
      </c>
      <c r="B89" s="4" t="s">
        <v>353</v>
      </c>
      <c r="C89" s="4" t="s">
        <v>65</v>
      </c>
      <c r="D89" s="4" t="s">
        <v>354</v>
      </c>
      <c r="E89" s="4" t="s">
        <v>355</v>
      </c>
      <c r="F89" s="4" t="s">
        <v>356</v>
      </c>
      <c r="G89" s="4" t="s">
        <v>357</v>
      </c>
      <c r="H89" s="4" t="s">
        <v>358</v>
      </c>
      <c r="I89" s="4" t="s">
        <v>16</v>
      </c>
      <c r="J89" s="4"/>
      <c r="K89" s="4"/>
      <c r="L89" s="4"/>
      <c r="M89" s="4" t="s">
        <v>20</v>
      </c>
    </row>
    <row r="90" spans="1:13" ht="28">
      <c r="A90" s="4">
        <v>42</v>
      </c>
      <c r="B90" s="4" t="s">
        <v>359</v>
      </c>
      <c r="C90" s="4" t="s">
        <v>65</v>
      </c>
      <c r="D90" s="4" t="s">
        <v>360</v>
      </c>
      <c r="E90" s="4" t="s">
        <v>361</v>
      </c>
      <c r="F90" s="4" t="s">
        <v>206</v>
      </c>
      <c r="G90" s="4" t="s">
        <v>349</v>
      </c>
      <c r="H90" s="4" t="s">
        <v>362</v>
      </c>
      <c r="I90" s="4" t="s">
        <v>16</v>
      </c>
      <c r="J90" s="4"/>
      <c r="K90" s="4"/>
      <c r="L90" s="4"/>
      <c r="M90" s="4" t="s">
        <v>20</v>
      </c>
    </row>
    <row r="91" spans="1:13">
      <c r="A91" s="4">
        <v>43</v>
      </c>
      <c r="B91" s="4" t="s">
        <v>362</v>
      </c>
      <c r="C91" s="4" t="s">
        <v>65</v>
      </c>
      <c r="D91" s="4" t="s">
        <v>363</v>
      </c>
      <c r="E91" s="4" t="s">
        <v>364</v>
      </c>
      <c r="F91" s="4" t="s">
        <v>248</v>
      </c>
      <c r="G91" s="4" t="s">
        <v>365</v>
      </c>
      <c r="H91" s="4" t="s">
        <v>366</v>
      </c>
      <c r="I91" s="4" t="s">
        <v>16</v>
      </c>
      <c r="J91" s="4"/>
      <c r="K91" s="4"/>
      <c r="L91" s="4"/>
      <c r="M91" s="4" t="s">
        <v>20</v>
      </c>
    </row>
    <row r="92" spans="1:13">
      <c r="A92" s="4">
        <v>44</v>
      </c>
      <c r="B92" s="4" t="s">
        <v>366</v>
      </c>
      <c r="C92" s="4" t="s">
        <v>65</v>
      </c>
      <c r="D92" s="4" t="s">
        <v>367</v>
      </c>
      <c r="E92" s="4" t="s">
        <v>256</v>
      </c>
      <c r="F92" s="4" t="s">
        <v>257</v>
      </c>
      <c r="G92" s="4" t="s">
        <v>368</v>
      </c>
      <c r="H92" s="4" t="s">
        <v>358</v>
      </c>
      <c r="I92" s="4" t="s">
        <v>16</v>
      </c>
      <c r="J92" s="4"/>
      <c r="K92" s="4"/>
      <c r="L92" s="4"/>
      <c r="M92" s="4" t="s">
        <v>20</v>
      </c>
    </row>
    <row r="93" spans="1:13" ht="28">
      <c r="A93" s="4">
        <v>45</v>
      </c>
      <c r="B93" s="4" t="s">
        <v>358</v>
      </c>
      <c r="C93" s="4" t="s">
        <v>65</v>
      </c>
      <c r="D93" s="4" t="s">
        <v>259</v>
      </c>
      <c r="E93" s="4" t="s">
        <v>369</v>
      </c>
      <c r="F93" s="4" t="s">
        <v>226</v>
      </c>
      <c r="G93" s="4" t="s">
        <v>370</v>
      </c>
      <c r="H93" s="4" t="s">
        <v>371</v>
      </c>
      <c r="I93" s="4" t="s">
        <v>16</v>
      </c>
      <c r="J93" s="4"/>
      <c r="K93" s="4"/>
      <c r="L93" s="4"/>
      <c r="M93" s="4" t="s">
        <v>20</v>
      </c>
    </row>
    <row r="94" spans="1:13" ht="28">
      <c r="A94" s="4">
        <v>46</v>
      </c>
      <c r="B94" s="4" t="s">
        <v>371</v>
      </c>
      <c r="C94" s="4" t="s">
        <v>65</v>
      </c>
      <c r="D94" s="4" t="s">
        <v>263</v>
      </c>
      <c r="E94" s="4" t="s">
        <v>372</v>
      </c>
      <c r="F94" s="4" t="s">
        <v>239</v>
      </c>
      <c r="G94" s="4" t="s">
        <v>358</v>
      </c>
      <c r="H94" s="4" t="s">
        <v>373</v>
      </c>
      <c r="I94" s="4" t="s">
        <v>16</v>
      </c>
      <c r="J94" s="4"/>
      <c r="K94" s="4"/>
      <c r="L94" s="4"/>
      <c r="M94" s="4" t="s">
        <v>20</v>
      </c>
    </row>
    <row r="95" spans="1:13">
      <c r="A95" s="4">
        <v>47</v>
      </c>
      <c r="B95" s="4" t="s">
        <v>374</v>
      </c>
      <c r="C95" s="4" t="s">
        <v>65</v>
      </c>
      <c r="D95" s="4" t="s">
        <v>375</v>
      </c>
      <c r="E95" s="4" t="s">
        <v>376</v>
      </c>
      <c r="F95" s="4" t="s">
        <v>239</v>
      </c>
      <c r="G95" s="4" t="s">
        <v>377</v>
      </c>
      <c r="H95" s="4" t="s">
        <v>378</v>
      </c>
      <c r="I95" s="4" t="s">
        <v>16</v>
      </c>
      <c r="J95" s="4"/>
      <c r="K95" s="4"/>
      <c r="L95" s="4"/>
      <c r="M95" s="4" t="s">
        <v>20</v>
      </c>
    </row>
    <row r="96" spans="1:13">
      <c r="A96" s="4">
        <v>48</v>
      </c>
      <c r="B96" s="4" t="s">
        <v>379</v>
      </c>
      <c r="C96" s="4" t="s">
        <v>65</v>
      </c>
      <c r="D96" s="4" t="s">
        <v>380</v>
      </c>
      <c r="E96" s="4" t="s">
        <v>381</v>
      </c>
      <c r="F96" s="4" t="s">
        <v>274</v>
      </c>
      <c r="G96" s="4" t="s">
        <v>382</v>
      </c>
      <c r="H96" s="4" t="s">
        <v>383</v>
      </c>
      <c r="I96" s="4" t="s">
        <v>16</v>
      </c>
      <c r="J96" s="4"/>
      <c r="K96" s="4"/>
      <c r="L96" s="4"/>
      <c r="M96" s="4" t="s">
        <v>20</v>
      </c>
    </row>
    <row r="97" spans="1:13">
      <c r="A97" s="4">
        <v>49</v>
      </c>
      <c r="B97" s="4" t="s">
        <v>384</v>
      </c>
      <c r="C97" s="4" t="s">
        <v>65</v>
      </c>
      <c r="D97" s="4" t="s">
        <v>278</v>
      </c>
      <c r="E97" s="4" t="s">
        <v>385</v>
      </c>
      <c r="F97" s="4" t="s">
        <v>274</v>
      </c>
      <c r="G97" s="4" t="s">
        <v>379</v>
      </c>
      <c r="H97" s="4" t="s">
        <v>386</v>
      </c>
      <c r="I97" s="4" t="s">
        <v>16</v>
      </c>
      <c r="J97" s="4"/>
      <c r="K97" s="4"/>
      <c r="L97" s="4"/>
      <c r="M97" s="4" t="s">
        <v>20</v>
      </c>
    </row>
    <row r="98" spans="1:13">
      <c r="A98" s="4">
        <v>50</v>
      </c>
      <c r="B98" s="4" t="s">
        <v>386</v>
      </c>
      <c r="C98" s="4" t="s">
        <v>65</v>
      </c>
      <c r="D98" s="4" t="s">
        <v>281</v>
      </c>
      <c r="E98" s="4" t="s">
        <v>387</v>
      </c>
      <c r="F98" s="4" t="s">
        <v>283</v>
      </c>
      <c r="G98" s="4" t="s">
        <v>384</v>
      </c>
      <c r="H98" s="4" t="s">
        <v>388</v>
      </c>
      <c r="I98" s="4" t="s">
        <v>16</v>
      </c>
      <c r="J98" s="4"/>
      <c r="K98" s="4"/>
      <c r="L98" s="4"/>
      <c r="M98" s="4" t="s">
        <v>20</v>
      </c>
    </row>
    <row r="99" spans="1:13">
      <c r="A99" s="4">
        <v>51</v>
      </c>
      <c r="B99" s="4" t="s">
        <v>389</v>
      </c>
      <c r="C99" s="4" t="s">
        <v>65</v>
      </c>
      <c r="D99" s="4" t="s">
        <v>286</v>
      </c>
      <c r="E99" s="4" t="s">
        <v>390</v>
      </c>
      <c r="F99" s="4" t="s">
        <v>206</v>
      </c>
      <c r="G99" s="4" t="s">
        <v>373</v>
      </c>
      <c r="H99" s="4" t="s">
        <v>391</v>
      </c>
      <c r="I99" s="4" t="s">
        <v>16</v>
      </c>
      <c r="J99" s="4"/>
      <c r="K99" s="4"/>
      <c r="L99" s="4"/>
      <c r="M99" s="4" t="s">
        <v>20</v>
      </c>
    </row>
    <row r="100" spans="1:13">
      <c r="A100" s="4">
        <v>52</v>
      </c>
      <c r="B100" s="4" t="s">
        <v>391</v>
      </c>
      <c r="C100" s="4" t="s">
        <v>65</v>
      </c>
      <c r="D100" s="4" t="s">
        <v>289</v>
      </c>
      <c r="E100" s="4" t="s">
        <v>392</v>
      </c>
      <c r="F100" s="4" t="s">
        <v>239</v>
      </c>
      <c r="G100" s="4" t="s">
        <v>389</v>
      </c>
      <c r="H100" s="4" t="s">
        <v>393</v>
      </c>
      <c r="I100" s="4" t="s">
        <v>16</v>
      </c>
      <c r="J100" s="4"/>
      <c r="K100" s="4"/>
      <c r="L100" s="4"/>
      <c r="M100" s="4" t="s">
        <v>20</v>
      </c>
    </row>
    <row r="101" spans="1:13" ht="28">
      <c r="A101" s="4">
        <v>53</v>
      </c>
      <c r="B101" s="4" t="s">
        <v>393</v>
      </c>
      <c r="C101" s="4" t="s">
        <v>65</v>
      </c>
      <c r="D101" s="4" t="s">
        <v>292</v>
      </c>
      <c r="E101" s="4" t="s">
        <v>394</v>
      </c>
      <c r="F101" s="4" t="s">
        <v>206</v>
      </c>
      <c r="G101" s="4" t="s">
        <v>391</v>
      </c>
      <c r="H101" s="4" t="s">
        <v>395</v>
      </c>
      <c r="I101" s="4" t="s">
        <v>16</v>
      </c>
      <c r="J101" s="4"/>
      <c r="K101" s="4"/>
      <c r="L101" s="4"/>
      <c r="M101" s="4" t="s">
        <v>20</v>
      </c>
    </row>
    <row r="102" spans="1:13" ht="28">
      <c r="A102" s="4">
        <v>54</v>
      </c>
      <c r="B102" s="4" t="s">
        <v>395</v>
      </c>
      <c r="C102" s="4" t="s">
        <v>65</v>
      </c>
      <c r="D102" s="4" t="s">
        <v>295</v>
      </c>
      <c r="E102" s="4" t="s">
        <v>396</v>
      </c>
      <c r="F102" s="4" t="s">
        <v>297</v>
      </c>
      <c r="G102" s="4" t="s">
        <v>397</v>
      </c>
      <c r="H102" s="4" t="s">
        <v>398</v>
      </c>
      <c r="I102" s="4" t="s">
        <v>16</v>
      </c>
      <c r="J102" s="4"/>
      <c r="K102" s="4"/>
      <c r="L102" s="4"/>
      <c r="M102" s="4" t="s">
        <v>20</v>
      </c>
    </row>
    <row r="103" spans="1:13">
      <c r="A103" s="4">
        <v>55</v>
      </c>
      <c r="B103" s="4" t="s">
        <v>398</v>
      </c>
      <c r="C103" s="4" t="s">
        <v>65</v>
      </c>
      <c r="D103" s="4" t="s">
        <v>399</v>
      </c>
      <c r="E103" s="4" t="s">
        <v>400</v>
      </c>
      <c r="F103" s="4" t="s">
        <v>297</v>
      </c>
      <c r="G103" s="4" t="s">
        <v>395</v>
      </c>
      <c r="H103" s="4" t="s">
        <v>401</v>
      </c>
      <c r="I103" s="4" t="s">
        <v>16</v>
      </c>
      <c r="J103" s="4"/>
      <c r="K103" s="4"/>
      <c r="L103" s="4"/>
      <c r="M103" s="4" t="s">
        <v>20</v>
      </c>
    </row>
    <row r="104" spans="1:13">
      <c r="A104" s="4">
        <v>56</v>
      </c>
      <c r="B104" s="4" t="s">
        <v>402</v>
      </c>
      <c r="C104" s="4" t="s">
        <v>65</v>
      </c>
      <c r="D104" s="4" t="s">
        <v>403</v>
      </c>
      <c r="E104" s="4" t="s">
        <v>404</v>
      </c>
      <c r="F104" s="4" t="s">
        <v>302</v>
      </c>
      <c r="G104" s="4" t="s">
        <v>398</v>
      </c>
      <c r="H104" s="4" t="s">
        <v>405</v>
      </c>
      <c r="I104" s="4" t="s">
        <v>16</v>
      </c>
      <c r="J104" s="4"/>
      <c r="K104" s="4"/>
      <c r="L104" s="4"/>
      <c r="M104" s="4" t="s">
        <v>20</v>
      </c>
    </row>
    <row r="105" spans="1:13">
      <c r="A105" s="4">
        <v>57</v>
      </c>
      <c r="B105" s="4" t="s">
        <v>406</v>
      </c>
      <c r="C105" s="4" t="s">
        <v>73</v>
      </c>
      <c r="D105" s="4" t="s">
        <v>407</v>
      </c>
      <c r="E105" s="4" t="s">
        <v>408</v>
      </c>
      <c r="F105" s="4" t="s">
        <v>206</v>
      </c>
      <c r="G105" s="4" t="s">
        <v>402</v>
      </c>
      <c r="H105" s="4" t="s">
        <v>409</v>
      </c>
      <c r="I105" s="4" t="s">
        <v>16</v>
      </c>
      <c r="J105" s="4"/>
      <c r="K105" s="4"/>
      <c r="L105" s="4"/>
      <c r="M105" s="4" t="s">
        <v>20</v>
      </c>
    </row>
    <row r="106" spans="1:13">
      <c r="A106" s="4">
        <v>58</v>
      </c>
      <c r="B106" s="4" t="s">
        <v>410</v>
      </c>
      <c r="C106" s="4" t="s">
        <v>73</v>
      </c>
      <c r="D106" s="4" t="s">
        <v>411</v>
      </c>
      <c r="E106" s="4" t="s">
        <v>412</v>
      </c>
      <c r="F106" s="4" t="s">
        <v>413</v>
      </c>
      <c r="G106" s="4" t="s">
        <v>398</v>
      </c>
      <c r="H106" s="4" t="s">
        <v>414</v>
      </c>
      <c r="I106" s="4" t="s">
        <v>16</v>
      </c>
      <c r="J106" s="4"/>
      <c r="K106" s="4"/>
      <c r="L106" s="4"/>
      <c r="M106" s="4" t="s">
        <v>20</v>
      </c>
    </row>
    <row r="107" spans="1:13">
      <c r="A107" s="4">
        <v>59</v>
      </c>
      <c r="B107" s="4" t="s">
        <v>415</v>
      </c>
      <c r="C107" s="4" t="s">
        <v>73</v>
      </c>
      <c r="D107" s="4" t="s">
        <v>416</v>
      </c>
      <c r="E107" s="4" t="s">
        <v>417</v>
      </c>
      <c r="F107" s="4" t="s">
        <v>178</v>
      </c>
      <c r="G107" s="4" t="s">
        <v>406</v>
      </c>
      <c r="H107" s="4" t="s">
        <v>414</v>
      </c>
      <c r="I107" s="4" t="s">
        <v>16</v>
      </c>
      <c r="J107" s="4"/>
      <c r="K107" s="4"/>
      <c r="L107" s="4"/>
      <c r="M107" s="4" t="s">
        <v>20</v>
      </c>
    </row>
    <row r="108" spans="1:13">
      <c r="A108" s="4">
        <v>60</v>
      </c>
      <c r="B108" s="4" t="s">
        <v>418</v>
      </c>
      <c r="C108" s="4" t="s">
        <v>73</v>
      </c>
      <c r="D108" s="4" t="s">
        <v>419</v>
      </c>
      <c r="E108" s="4" t="s">
        <v>420</v>
      </c>
      <c r="F108" s="4" t="s">
        <v>421</v>
      </c>
      <c r="G108" s="4" t="s">
        <v>422</v>
      </c>
      <c r="H108" s="4" t="s">
        <v>414</v>
      </c>
      <c r="I108" s="4" t="s">
        <v>16</v>
      </c>
      <c r="J108" s="4"/>
      <c r="K108" s="4"/>
      <c r="L108" s="4"/>
      <c r="M108" s="4" t="s">
        <v>20</v>
      </c>
    </row>
    <row r="109" spans="1:13">
      <c r="A109" s="4">
        <v>61</v>
      </c>
      <c r="B109" s="4" t="s">
        <v>423</v>
      </c>
      <c r="C109" s="4" t="s">
        <v>73</v>
      </c>
      <c r="D109" s="4" t="s">
        <v>424</v>
      </c>
      <c r="E109" s="4" t="s">
        <v>424</v>
      </c>
      <c r="F109" s="4" t="s">
        <v>425</v>
      </c>
      <c r="G109" s="4" t="s">
        <v>426</v>
      </c>
      <c r="H109" s="4" t="s">
        <v>414</v>
      </c>
      <c r="I109" s="4" t="s">
        <v>16</v>
      </c>
      <c r="J109" s="4"/>
      <c r="K109" s="4"/>
      <c r="L109" s="4"/>
      <c r="M109" s="4" t="s">
        <v>20</v>
      </c>
    </row>
    <row r="110" spans="1:13">
      <c r="A110" s="4">
        <v>62</v>
      </c>
      <c r="B110" s="4" t="s">
        <v>427</v>
      </c>
      <c r="C110" s="4" t="s">
        <v>73</v>
      </c>
      <c r="D110" s="4" t="s">
        <v>428</v>
      </c>
      <c r="E110" s="4" t="s">
        <v>429</v>
      </c>
      <c r="F110" s="4" t="s">
        <v>430</v>
      </c>
      <c r="G110" s="4" t="s">
        <v>426</v>
      </c>
      <c r="H110" s="4" t="s">
        <v>414</v>
      </c>
      <c r="I110" s="4" t="s">
        <v>16</v>
      </c>
      <c r="J110" s="4"/>
      <c r="K110" s="4"/>
      <c r="L110" s="4"/>
      <c r="M110" s="4" t="s">
        <v>20</v>
      </c>
    </row>
    <row r="111" spans="1:13">
      <c r="A111" s="4">
        <v>63</v>
      </c>
      <c r="B111" s="4" t="s">
        <v>414</v>
      </c>
      <c r="C111" s="4" t="s">
        <v>73</v>
      </c>
      <c r="D111" s="4" t="s">
        <v>431</v>
      </c>
      <c r="E111" s="4" t="s">
        <v>431</v>
      </c>
      <c r="F111" s="4" t="s">
        <v>432</v>
      </c>
      <c r="G111" s="4" t="s">
        <v>433</v>
      </c>
      <c r="H111" s="4"/>
      <c r="I111" s="4" t="s">
        <v>16</v>
      </c>
      <c r="J111" s="4"/>
      <c r="K111" s="4"/>
      <c r="L111" s="4"/>
      <c r="M111" s="4" t="s">
        <v>20</v>
      </c>
    </row>
    <row r="113" spans="1:13">
      <c r="A113" s="6" t="s">
        <v>524</v>
      </c>
      <c r="B113" s="6"/>
      <c r="C113" s="6"/>
      <c r="D113" s="6"/>
      <c r="E113" s="6"/>
      <c r="F113" s="6"/>
      <c r="G113" s="6"/>
      <c r="H113" s="6"/>
      <c r="I113" s="6"/>
      <c r="J113" s="6"/>
    </row>
    <row r="114" spans="1:13">
      <c r="A114" s="1" t="s">
        <v>525</v>
      </c>
      <c r="B114" s="1" t="s">
        <v>526</v>
      </c>
      <c r="C114" s="1" t="s">
        <v>459</v>
      </c>
      <c r="D114" s="1" t="s">
        <v>3</v>
      </c>
      <c r="E114" s="1" t="s">
        <v>4</v>
      </c>
      <c r="F114" s="1" t="s">
        <v>511</v>
      </c>
      <c r="G114" s="1" t="s">
        <v>527</v>
      </c>
      <c r="H114" s="1" t="s">
        <v>528</v>
      </c>
      <c r="I114" s="1" t="s">
        <v>529</v>
      </c>
      <c r="J114" s="1" t="s">
        <v>530</v>
      </c>
      <c r="K114" s="1" t="s">
        <v>440</v>
      </c>
    </row>
    <row r="115" spans="1:13">
      <c r="A115" t="s">
        <v>689</v>
      </c>
      <c r="B115" t="s">
        <v>690</v>
      </c>
      <c r="C115" t="s">
        <v>691</v>
      </c>
      <c r="D115" t="s">
        <v>40</v>
      </c>
      <c r="E115" t="s">
        <v>41</v>
      </c>
      <c r="F115" t="s">
        <v>152</v>
      </c>
      <c r="G115" t="s">
        <v>692</v>
      </c>
      <c r="H115" t="s">
        <v>693</v>
      </c>
      <c r="I115" t="s">
        <v>603</v>
      </c>
      <c r="J115" t="s">
        <v>501</v>
      </c>
      <c r="K115" t="s">
        <v>20</v>
      </c>
    </row>
    <row r="116" spans="1:13">
      <c r="A116" t="s">
        <v>694</v>
      </c>
      <c r="B116" t="s">
        <v>695</v>
      </c>
      <c r="C116" t="s">
        <v>217</v>
      </c>
      <c r="D116" t="s">
        <v>28</v>
      </c>
      <c r="E116" t="s">
        <v>29</v>
      </c>
      <c r="F116" t="s">
        <v>51</v>
      </c>
      <c r="G116" t="s">
        <v>696</v>
      </c>
      <c r="H116" t="s">
        <v>697</v>
      </c>
      <c r="I116" t="s">
        <v>603</v>
      </c>
      <c r="J116" t="s">
        <v>501</v>
      </c>
      <c r="K116" t="s">
        <v>20</v>
      </c>
    </row>
    <row r="117" spans="1:13">
      <c r="A117" t="s">
        <v>698</v>
      </c>
      <c r="B117" t="s">
        <v>699</v>
      </c>
      <c r="C117" t="s">
        <v>178</v>
      </c>
      <c r="D117" t="s">
        <v>28</v>
      </c>
      <c r="E117" t="s">
        <v>29</v>
      </c>
      <c r="F117" t="s">
        <v>51</v>
      </c>
      <c r="G117" t="s">
        <v>700</v>
      </c>
      <c r="H117" t="s">
        <v>701</v>
      </c>
      <c r="I117" t="s">
        <v>603</v>
      </c>
      <c r="J117" t="s">
        <v>501</v>
      </c>
      <c r="K117" t="s">
        <v>20</v>
      </c>
    </row>
    <row r="118" spans="1:13">
      <c r="A118" t="s">
        <v>702</v>
      </c>
      <c r="B118" t="s">
        <v>703</v>
      </c>
      <c r="C118" t="s">
        <v>217</v>
      </c>
      <c r="D118" t="s">
        <v>16</v>
      </c>
      <c r="E118" t="s">
        <v>17</v>
      </c>
      <c r="F118" t="s">
        <v>704</v>
      </c>
      <c r="G118" t="s">
        <v>705</v>
      </c>
      <c r="H118" t="s">
        <v>706</v>
      </c>
      <c r="I118" t="s">
        <v>603</v>
      </c>
      <c r="J118" t="s">
        <v>501</v>
      </c>
      <c r="K118" t="s">
        <v>20</v>
      </c>
    </row>
    <row r="120" spans="1:13">
      <c r="A120" s="6" t="s">
        <v>546</v>
      </c>
      <c r="B120" s="6"/>
      <c r="C120" s="6"/>
      <c r="D120" s="6"/>
      <c r="E120" s="6"/>
      <c r="F120" s="6"/>
      <c r="G120" s="6"/>
      <c r="H120" s="6"/>
      <c r="I120" s="6"/>
      <c r="J120" s="6"/>
    </row>
    <row r="121" spans="1:13">
      <c r="A121" s="1" t="s">
        <v>547</v>
      </c>
      <c r="B121" s="1" t="s">
        <v>472</v>
      </c>
      <c r="C121" s="1" t="s">
        <v>548</v>
      </c>
      <c r="D121" s="1" t="s">
        <v>474</v>
      </c>
      <c r="E121" s="1" t="s">
        <v>523</v>
      </c>
      <c r="F121" s="1" t="s">
        <v>511</v>
      </c>
      <c r="G121" s="1" t="s">
        <v>3</v>
      </c>
      <c r="H121" s="1" t="s">
        <v>549</v>
      </c>
      <c r="I121" s="1" t="s">
        <v>550</v>
      </c>
      <c r="J121" s="1" t="s">
        <v>551</v>
      </c>
      <c r="K121" s="1" t="s">
        <v>9</v>
      </c>
      <c r="L121" s="1" t="s">
        <v>552</v>
      </c>
      <c r="M121" s="1" t="s">
        <v>440</v>
      </c>
    </row>
    <row r="122" spans="1:13">
      <c r="A122" t="s">
        <v>707</v>
      </c>
      <c r="B122" t="s">
        <v>677</v>
      </c>
      <c r="C122" t="s">
        <v>708</v>
      </c>
      <c r="D122" t="s">
        <v>709</v>
      </c>
      <c r="E122" t="s">
        <v>710</v>
      </c>
      <c r="F122" t="s">
        <v>152</v>
      </c>
      <c r="G122" t="s">
        <v>40</v>
      </c>
      <c r="H122" t="s">
        <v>711</v>
      </c>
      <c r="I122" t="s">
        <v>689</v>
      </c>
      <c r="J122" t="s">
        <v>690</v>
      </c>
      <c r="K122" t="s">
        <v>22</v>
      </c>
      <c r="M122" t="s">
        <v>20</v>
      </c>
    </row>
    <row r="124" spans="1:13">
      <c r="A124" s="6" t="s">
        <v>560</v>
      </c>
      <c r="B124" s="6"/>
      <c r="C124" s="6"/>
      <c r="D124" s="6"/>
      <c r="E124" s="6"/>
      <c r="F124" s="6"/>
      <c r="G124" s="6"/>
      <c r="H124" s="6"/>
      <c r="I124" s="6"/>
      <c r="J124" s="6"/>
    </row>
    <row r="125" spans="1:13">
      <c r="A125" s="1" t="s">
        <v>561</v>
      </c>
      <c r="B125" s="1" t="s">
        <v>13</v>
      </c>
      <c r="C125" s="1" t="s">
        <v>459</v>
      </c>
      <c r="D125" s="1" t="s">
        <v>511</v>
      </c>
      <c r="E125" s="1" t="s">
        <v>3</v>
      </c>
      <c r="F125" s="1" t="s">
        <v>461</v>
      </c>
      <c r="G125" s="1" t="s">
        <v>440</v>
      </c>
    </row>
    <row r="126" spans="1:13">
      <c r="A126" t="s">
        <v>712</v>
      </c>
      <c r="B126" t="s">
        <v>41</v>
      </c>
      <c r="E126" t="s">
        <v>85</v>
      </c>
      <c r="G126" t="s">
        <v>20</v>
      </c>
    </row>
  </sheetData>
  <mergeCells count="1">
    <mergeCell ref="A1:J1"/>
  </mergeCells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6"/>
  <sheetViews>
    <sheetView workbookViewId="0">
      <selection sqref="A1:J1"/>
    </sheetView>
  </sheetViews>
  <sheetFormatPr defaultRowHeight="14"/>
  <cols>
    <col min="1" max="1" width="14" customWidth="1"/>
    <col min="2" max="2" width="16" customWidth="1"/>
    <col min="3" max="3" width="28" customWidth="1"/>
    <col min="4" max="4" width="18" customWidth="1"/>
    <col min="5" max="5" width="48" customWidth="1"/>
    <col min="6" max="6" width="28" customWidth="1"/>
    <col min="7" max="8" width="24" customWidth="1"/>
    <col min="9" max="10" width="18" customWidth="1"/>
    <col min="11" max="11" width="16" customWidth="1"/>
    <col min="12" max="12" width="30" customWidth="1"/>
    <col min="13" max="13" width="12" customWidth="1"/>
  </cols>
  <sheetData>
    <row r="1" spans="1:13" ht="18">
      <c r="A1" s="22" t="s">
        <v>713</v>
      </c>
      <c r="B1" s="22"/>
      <c r="C1" s="22"/>
      <c r="D1" s="22"/>
      <c r="E1" s="22"/>
      <c r="F1" s="22"/>
      <c r="G1" s="22"/>
      <c r="H1" s="22"/>
      <c r="I1" s="22"/>
      <c r="J1" s="22"/>
      <c r="K1" s="4"/>
      <c r="L1" s="4"/>
      <c r="M1" s="4"/>
    </row>
    <row r="3" spans="1:13">
      <c r="A3" s="6" t="s">
        <v>492</v>
      </c>
      <c r="B3" s="6"/>
      <c r="C3" s="6"/>
      <c r="D3" s="6"/>
      <c r="E3" s="6"/>
      <c r="F3" s="6"/>
      <c r="G3" s="6"/>
      <c r="H3" s="6"/>
      <c r="I3" s="6"/>
      <c r="J3" s="6"/>
    </row>
    <row r="4" spans="1:13">
      <c r="A4" s="1" t="s">
        <v>493</v>
      </c>
      <c r="B4" s="1" t="s">
        <v>494</v>
      </c>
      <c r="C4" s="1" t="s">
        <v>440</v>
      </c>
      <c r="D4" s="1" t="s">
        <v>461</v>
      </c>
    </row>
    <row r="5" spans="1:13">
      <c r="A5" t="s">
        <v>120</v>
      </c>
      <c r="B5" t="s">
        <v>176</v>
      </c>
      <c r="C5" t="s">
        <v>20</v>
      </c>
    </row>
    <row r="6" spans="1:13">
      <c r="A6" t="s">
        <v>121</v>
      </c>
      <c r="B6" t="s">
        <v>177</v>
      </c>
      <c r="C6" t="s">
        <v>20</v>
      </c>
    </row>
    <row r="7" spans="1:13">
      <c r="A7" t="s">
        <v>122</v>
      </c>
      <c r="B7" t="s">
        <v>177</v>
      </c>
      <c r="C7" t="s">
        <v>20</v>
      </c>
    </row>
    <row r="8" spans="1:13">
      <c r="A8" t="s">
        <v>5</v>
      </c>
      <c r="B8" t="s">
        <v>30</v>
      </c>
      <c r="C8" t="s">
        <v>20</v>
      </c>
    </row>
    <row r="9" spans="1:13">
      <c r="A9" t="s">
        <v>3</v>
      </c>
      <c r="B9" t="s">
        <v>51</v>
      </c>
      <c r="C9" t="s">
        <v>20</v>
      </c>
    </row>
    <row r="10" spans="1:13">
      <c r="A10" t="s">
        <v>4</v>
      </c>
      <c r="B10" t="s">
        <v>41</v>
      </c>
      <c r="C10" t="s">
        <v>20</v>
      </c>
    </row>
    <row r="11" spans="1:13">
      <c r="A11" t="s">
        <v>6</v>
      </c>
      <c r="B11" t="s">
        <v>68</v>
      </c>
      <c r="C11" t="s">
        <v>20</v>
      </c>
    </row>
    <row r="12" spans="1:13">
      <c r="A12" t="s">
        <v>123</v>
      </c>
      <c r="B12" t="s">
        <v>178</v>
      </c>
      <c r="C12" t="s">
        <v>20</v>
      </c>
    </row>
    <row r="13" spans="1:13">
      <c r="A13" t="s">
        <v>124</v>
      </c>
      <c r="B13" t="s">
        <v>179</v>
      </c>
      <c r="C13" t="s">
        <v>20</v>
      </c>
    </row>
    <row r="14" spans="1:13">
      <c r="A14" t="s">
        <v>495</v>
      </c>
      <c r="B14" t="s">
        <v>714</v>
      </c>
      <c r="C14" t="s">
        <v>20</v>
      </c>
    </row>
    <row r="15" spans="1:13">
      <c r="A15" t="s">
        <v>125</v>
      </c>
      <c r="B15" t="s">
        <v>180</v>
      </c>
      <c r="C15" t="s">
        <v>20</v>
      </c>
    </row>
    <row r="16" spans="1:13">
      <c r="A16" t="s">
        <v>126</v>
      </c>
      <c r="B16" t="s">
        <v>181</v>
      </c>
      <c r="C16" t="s">
        <v>20</v>
      </c>
    </row>
    <row r="17" spans="1:10">
      <c r="A17" t="s">
        <v>497</v>
      </c>
      <c r="B17" t="s">
        <v>715</v>
      </c>
      <c r="C17" t="s">
        <v>20</v>
      </c>
    </row>
    <row r="18" spans="1:10">
      <c r="A18" t="s">
        <v>127</v>
      </c>
      <c r="B18" t="s">
        <v>40</v>
      </c>
      <c r="C18" t="s">
        <v>20</v>
      </c>
    </row>
    <row r="19" spans="1:10">
      <c r="A19" t="s">
        <v>128</v>
      </c>
      <c r="B19" t="s">
        <v>20</v>
      </c>
      <c r="C19" t="s">
        <v>20</v>
      </c>
      <c r="D19" t="s">
        <v>499</v>
      </c>
    </row>
    <row r="20" spans="1:10">
      <c r="A20" t="s">
        <v>500</v>
      </c>
      <c r="B20" t="s">
        <v>501</v>
      </c>
      <c r="C20" t="s">
        <v>20</v>
      </c>
    </row>
    <row r="22" spans="1:10">
      <c r="A22" s="6" t="s">
        <v>502</v>
      </c>
      <c r="B22" s="6"/>
      <c r="C22" s="6"/>
      <c r="D22" s="6"/>
      <c r="E22" s="6"/>
      <c r="F22" s="6"/>
      <c r="G22" s="6"/>
      <c r="H22" s="6"/>
      <c r="I22" s="6"/>
      <c r="J22" s="6"/>
    </row>
    <row r="23" spans="1:10">
      <c r="A23" s="1" t="s">
        <v>503</v>
      </c>
      <c r="B23" s="1" t="s">
        <v>3</v>
      </c>
      <c r="C23" s="1" t="s">
        <v>459</v>
      </c>
      <c r="D23" s="1" t="s">
        <v>126</v>
      </c>
      <c r="E23" s="1" t="s">
        <v>461</v>
      </c>
      <c r="F23" s="1" t="s">
        <v>440</v>
      </c>
    </row>
    <row r="24" spans="1:10">
      <c r="A24" t="s">
        <v>504</v>
      </c>
      <c r="F24" t="s">
        <v>20</v>
      </c>
    </row>
    <row r="25" spans="1:10">
      <c r="A25" t="s">
        <v>505</v>
      </c>
      <c r="F25" t="s">
        <v>20</v>
      </c>
    </row>
    <row r="26" spans="1:10">
      <c r="A26" t="s">
        <v>506</v>
      </c>
      <c r="F26" t="s">
        <v>20</v>
      </c>
    </row>
    <row r="27" spans="1:10">
      <c r="A27" t="s">
        <v>507</v>
      </c>
      <c r="F27" t="s">
        <v>20</v>
      </c>
    </row>
    <row r="28" spans="1:10">
      <c r="A28" t="s">
        <v>508</v>
      </c>
      <c r="F28" t="s">
        <v>20</v>
      </c>
    </row>
    <row r="29" spans="1:10">
      <c r="A29" t="s">
        <v>509</v>
      </c>
      <c r="F29" t="s">
        <v>20</v>
      </c>
    </row>
    <row r="31" spans="1:10">
      <c r="A31" s="6" t="s">
        <v>510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s="1" t="s">
        <v>10</v>
      </c>
      <c r="B32" s="1" t="s">
        <v>80</v>
      </c>
      <c r="C32" s="1" t="s">
        <v>3</v>
      </c>
      <c r="D32" s="1" t="s">
        <v>459</v>
      </c>
      <c r="E32" s="1" t="s">
        <v>511</v>
      </c>
      <c r="F32" s="1" t="s">
        <v>461</v>
      </c>
      <c r="G32" s="1" t="s">
        <v>440</v>
      </c>
    </row>
    <row r="33" spans="1:13">
      <c r="A33" t="s">
        <v>23</v>
      </c>
      <c r="B33" t="s">
        <v>32</v>
      </c>
      <c r="C33" t="s">
        <v>16</v>
      </c>
      <c r="G33" t="s">
        <v>20</v>
      </c>
    </row>
    <row r="34" spans="1:13">
      <c r="A34" t="s">
        <v>35</v>
      </c>
      <c r="B34" t="s">
        <v>32</v>
      </c>
      <c r="C34" t="s">
        <v>16</v>
      </c>
      <c r="G34" t="s">
        <v>20</v>
      </c>
    </row>
    <row r="35" spans="1:13">
      <c r="A35" t="s">
        <v>46</v>
      </c>
      <c r="B35" t="s">
        <v>32</v>
      </c>
      <c r="C35" t="s">
        <v>16</v>
      </c>
      <c r="G35" t="s">
        <v>20</v>
      </c>
    </row>
    <row r="36" spans="1:13">
      <c r="A36" t="s">
        <v>56</v>
      </c>
      <c r="B36" t="s">
        <v>32</v>
      </c>
      <c r="C36" t="s">
        <v>16</v>
      </c>
      <c r="G36" t="s">
        <v>20</v>
      </c>
    </row>
    <row r="37" spans="1:13">
      <c r="A37" t="s">
        <v>36</v>
      </c>
      <c r="B37" t="s">
        <v>32</v>
      </c>
      <c r="C37" t="s">
        <v>16</v>
      </c>
      <c r="G37" t="s">
        <v>20</v>
      </c>
    </row>
    <row r="38" spans="1:13">
      <c r="A38" t="s">
        <v>71</v>
      </c>
      <c r="B38" t="s">
        <v>32</v>
      </c>
      <c r="C38" t="s">
        <v>16</v>
      </c>
      <c r="G38" t="s">
        <v>20</v>
      </c>
    </row>
    <row r="40" spans="1:13">
      <c r="A40" s="6" t="s">
        <v>512</v>
      </c>
      <c r="B40" s="6"/>
      <c r="C40" s="6"/>
      <c r="D40" s="6"/>
      <c r="E40" s="6"/>
      <c r="F40" s="6"/>
      <c r="G40" s="6"/>
      <c r="H40" s="6"/>
      <c r="I40" s="6"/>
      <c r="J40" s="6"/>
    </row>
    <row r="41" spans="1:13">
      <c r="A41" s="1" t="s">
        <v>513</v>
      </c>
      <c r="B41" s="1" t="s">
        <v>514</v>
      </c>
      <c r="C41" s="1" t="s">
        <v>515</v>
      </c>
      <c r="D41" s="1" t="s">
        <v>3</v>
      </c>
      <c r="E41" s="1" t="s">
        <v>459</v>
      </c>
      <c r="F41" s="1" t="s">
        <v>126</v>
      </c>
      <c r="G41" s="1" t="s">
        <v>461</v>
      </c>
      <c r="H41" s="1" t="s">
        <v>440</v>
      </c>
    </row>
    <row r="42" spans="1:13">
      <c r="A42" t="s">
        <v>516</v>
      </c>
      <c r="B42">
        <v>0</v>
      </c>
      <c r="C42">
        <v>0</v>
      </c>
      <c r="D42" t="s">
        <v>16</v>
      </c>
      <c r="H42" t="s">
        <v>20</v>
      </c>
    </row>
    <row r="43" spans="1:13">
      <c r="A43" t="s">
        <v>517</v>
      </c>
      <c r="B43">
        <v>0</v>
      </c>
      <c r="C43">
        <v>0</v>
      </c>
      <c r="D43" t="s">
        <v>16</v>
      </c>
      <c r="H43" t="s">
        <v>20</v>
      </c>
    </row>
    <row r="44" spans="1:13">
      <c r="A44" t="s">
        <v>518</v>
      </c>
      <c r="B44">
        <v>0</v>
      </c>
      <c r="C44">
        <v>0</v>
      </c>
      <c r="D44" t="s">
        <v>16</v>
      </c>
      <c r="H44" t="s">
        <v>20</v>
      </c>
    </row>
    <row r="45" spans="1:13">
      <c r="A45" t="s">
        <v>519</v>
      </c>
      <c r="B45">
        <v>0</v>
      </c>
      <c r="C45">
        <v>0</v>
      </c>
      <c r="D45" t="s">
        <v>16</v>
      </c>
      <c r="H45" t="s">
        <v>20</v>
      </c>
    </row>
    <row r="47" spans="1:13">
      <c r="A47" s="6" t="s">
        <v>520</v>
      </c>
      <c r="B47" s="6"/>
      <c r="C47" s="6"/>
      <c r="D47" s="6"/>
      <c r="E47" s="6"/>
      <c r="F47" s="6"/>
      <c r="G47" s="6"/>
      <c r="H47" s="6"/>
      <c r="I47" s="6"/>
      <c r="J47" s="6"/>
    </row>
    <row r="48" spans="1:13">
      <c r="A48" s="7" t="s">
        <v>521</v>
      </c>
      <c r="B48" s="7" t="s">
        <v>190</v>
      </c>
      <c r="C48" s="7" t="s">
        <v>192</v>
      </c>
      <c r="D48" s="7" t="s">
        <v>121</v>
      </c>
      <c r="E48" s="7" t="s">
        <v>522</v>
      </c>
      <c r="F48" s="7" t="s">
        <v>523</v>
      </c>
      <c r="G48" s="7" t="s">
        <v>195</v>
      </c>
      <c r="H48" s="7" t="s">
        <v>196</v>
      </c>
      <c r="I48" s="7" t="s">
        <v>3</v>
      </c>
      <c r="J48" s="7" t="s">
        <v>459</v>
      </c>
      <c r="K48" s="11" t="s">
        <v>511</v>
      </c>
      <c r="L48" s="11" t="s">
        <v>461</v>
      </c>
      <c r="M48" s="11" t="s">
        <v>440</v>
      </c>
    </row>
    <row r="49" spans="1:13">
      <c r="A49" s="4">
        <v>1</v>
      </c>
      <c r="B49" s="4" t="s">
        <v>200</v>
      </c>
      <c r="C49" s="4" t="s">
        <v>25</v>
      </c>
      <c r="D49" s="4" t="s">
        <v>201</v>
      </c>
      <c r="E49" s="4" t="s">
        <v>202</v>
      </c>
      <c r="F49" s="4" t="s">
        <v>178</v>
      </c>
      <c r="G49" s="4"/>
      <c r="H49" s="4" t="s">
        <v>203</v>
      </c>
      <c r="I49" s="4" t="s">
        <v>40</v>
      </c>
      <c r="J49" s="4"/>
      <c r="K49" s="4"/>
      <c r="L49" s="4"/>
      <c r="M49" s="4" t="s">
        <v>20</v>
      </c>
    </row>
    <row r="50" spans="1:13">
      <c r="A50" s="4">
        <v>2</v>
      </c>
      <c r="B50" s="4" t="s">
        <v>203</v>
      </c>
      <c r="C50" s="4" t="s">
        <v>25</v>
      </c>
      <c r="D50" s="4" t="s">
        <v>204</v>
      </c>
      <c r="E50" s="4" t="s">
        <v>205</v>
      </c>
      <c r="F50" s="4" t="s">
        <v>206</v>
      </c>
      <c r="G50" s="4" t="s">
        <v>200</v>
      </c>
      <c r="H50" s="4" t="s">
        <v>207</v>
      </c>
      <c r="I50" s="4" t="s">
        <v>16</v>
      </c>
      <c r="J50" s="4"/>
      <c r="K50" s="4"/>
      <c r="L50" s="4"/>
      <c r="M50" s="4" t="s">
        <v>20</v>
      </c>
    </row>
    <row r="51" spans="1:13">
      <c r="A51" s="4">
        <v>3</v>
      </c>
      <c r="B51" s="4" t="s">
        <v>207</v>
      </c>
      <c r="C51" s="4" t="s">
        <v>25</v>
      </c>
      <c r="D51" s="4" t="s">
        <v>208</v>
      </c>
      <c r="E51" s="4" t="s">
        <v>209</v>
      </c>
      <c r="F51" s="4" t="s">
        <v>206</v>
      </c>
      <c r="G51" s="4" t="s">
        <v>203</v>
      </c>
      <c r="H51" s="4" t="s">
        <v>210</v>
      </c>
      <c r="I51" s="4" t="s">
        <v>16</v>
      </c>
      <c r="J51" s="4"/>
      <c r="K51" s="4"/>
      <c r="L51" s="4"/>
      <c r="M51" s="4" t="s">
        <v>20</v>
      </c>
    </row>
    <row r="52" spans="1:13">
      <c r="A52" s="4">
        <v>4</v>
      </c>
      <c r="B52" s="4" t="s">
        <v>210</v>
      </c>
      <c r="C52" s="4" t="s">
        <v>25</v>
      </c>
      <c r="D52" s="4" t="s">
        <v>211</v>
      </c>
      <c r="E52" s="4" t="s">
        <v>212</v>
      </c>
      <c r="F52" s="4" t="s">
        <v>178</v>
      </c>
      <c r="G52" s="4" t="s">
        <v>207</v>
      </c>
      <c r="H52" s="4" t="s">
        <v>213</v>
      </c>
      <c r="I52" s="4" t="s">
        <v>16</v>
      </c>
      <c r="J52" s="4"/>
      <c r="K52" s="4"/>
      <c r="L52" s="4"/>
      <c r="M52" s="4" t="s">
        <v>20</v>
      </c>
    </row>
    <row r="53" spans="1:13" ht="28">
      <c r="A53" s="4">
        <v>5</v>
      </c>
      <c r="B53" s="4" t="s">
        <v>214</v>
      </c>
      <c r="C53" s="4" t="s">
        <v>25</v>
      </c>
      <c r="D53" s="4" t="s">
        <v>215</v>
      </c>
      <c r="E53" s="4" t="s">
        <v>216</v>
      </c>
      <c r="F53" s="4" t="s">
        <v>217</v>
      </c>
      <c r="G53" s="4" t="s">
        <v>210</v>
      </c>
      <c r="H53" s="4" t="s">
        <v>218</v>
      </c>
      <c r="I53" s="4" t="s">
        <v>16</v>
      </c>
      <c r="J53" s="4"/>
      <c r="K53" s="4"/>
      <c r="L53" s="4"/>
      <c r="M53" s="4" t="s">
        <v>20</v>
      </c>
    </row>
    <row r="54" spans="1:13">
      <c r="A54" s="4">
        <v>6</v>
      </c>
      <c r="B54" s="4" t="s">
        <v>219</v>
      </c>
      <c r="C54" s="4" t="s">
        <v>25</v>
      </c>
      <c r="D54" s="4" t="s">
        <v>220</v>
      </c>
      <c r="E54" s="4" t="s">
        <v>221</v>
      </c>
      <c r="F54" s="4" t="s">
        <v>217</v>
      </c>
      <c r="G54" s="4" t="s">
        <v>207</v>
      </c>
      <c r="H54" s="4" t="s">
        <v>222</v>
      </c>
      <c r="I54" s="4" t="s">
        <v>16</v>
      </c>
      <c r="J54" s="4"/>
      <c r="K54" s="4"/>
      <c r="L54" s="4"/>
      <c r="M54" s="4" t="s">
        <v>20</v>
      </c>
    </row>
    <row r="55" spans="1:13" ht="28">
      <c r="A55" s="4">
        <v>7</v>
      </c>
      <c r="B55" s="4" t="s">
        <v>223</v>
      </c>
      <c r="C55" s="4" t="s">
        <v>25</v>
      </c>
      <c r="D55" s="4" t="s">
        <v>224</v>
      </c>
      <c r="E55" s="4" t="s">
        <v>225</v>
      </c>
      <c r="F55" s="4" t="s">
        <v>226</v>
      </c>
      <c r="G55" s="4" t="s">
        <v>210</v>
      </c>
      <c r="H55" s="4" t="s">
        <v>227</v>
      </c>
      <c r="I55" s="4" t="s">
        <v>16</v>
      </c>
      <c r="J55" s="4"/>
      <c r="K55" s="4"/>
      <c r="L55" s="4"/>
      <c r="M55" s="4" t="s">
        <v>20</v>
      </c>
    </row>
    <row r="56" spans="1:13">
      <c r="A56" s="4">
        <v>8</v>
      </c>
      <c r="B56" s="4" t="s">
        <v>228</v>
      </c>
      <c r="C56" s="4" t="s">
        <v>25</v>
      </c>
      <c r="D56" s="4" t="s">
        <v>229</v>
      </c>
      <c r="E56" s="4" t="s">
        <v>230</v>
      </c>
      <c r="F56" s="4" t="s">
        <v>231</v>
      </c>
      <c r="G56" s="4" t="s">
        <v>214</v>
      </c>
      <c r="H56" s="4" t="s">
        <v>232</v>
      </c>
      <c r="I56" s="4" t="s">
        <v>16</v>
      </c>
      <c r="J56" s="4"/>
      <c r="K56" s="4"/>
      <c r="L56" s="4"/>
      <c r="M56" s="4" t="s">
        <v>20</v>
      </c>
    </row>
    <row r="57" spans="1:13">
      <c r="A57" s="4">
        <v>9</v>
      </c>
      <c r="B57" s="4" t="s">
        <v>233</v>
      </c>
      <c r="C57" s="4" t="s">
        <v>25</v>
      </c>
      <c r="D57" s="4" t="s">
        <v>234</v>
      </c>
      <c r="E57" s="4" t="s">
        <v>235</v>
      </c>
      <c r="F57" s="4" t="s">
        <v>206</v>
      </c>
      <c r="G57" s="4" t="s">
        <v>214</v>
      </c>
      <c r="H57" s="4" t="s">
        <v>232</v>
      </c>
      <c r="I57" s="4" t="s">
        <v>16</v>
      </c>
      <c r="J57" s="4"/>
      <c r="K57" s="4"/>
      <c r="L57" s="4"/>
      <c r="M57" s="4" t="s">
        <v>20</v>
      </c>
    </row>
    <row r="58" spans="1:13" ht="28">
      <c r="A58" s="4">
        <v>10</v>
      </c>
      <c r="B58" s="4" t="s">
        <v>236</v>
      </c>
      <c r="C58" s="4" t="s">
        <v>37</v>
      </c>
      <c r="D58" s="4" t="s">
        <v>237</v>
      </c>
      <c r="E58" s="4" t="s">
        <v>238</v>
      </c>
      <c r="F58" s="4" t="s">
        <v>239</v>
      </c>
      <c r="G58" s="4" t="s">
        <v>219</v>
      </c>
      <c r="H58" s="4" t="s">
        <v>240</v>
      </c>
      <c r="I58" s="4" t="s">
        <v>16</v>
      </c>
      <c r="J58" s="4"/>
      <c r="K58" s="4"/>
      <c r="L58" s="4"/>
      <c r="M58" s="4" t="s">
        <v>20</v>
      </c>
    </row>
    <row r="59" spans="1:13" ht="28">
      <c r="A59" s="4">
        <v>11</v>
      </c>
      <c r="B59" s="4" t="s">
        <v>241</v>
      </c>
      <c r="C59" s="4" t="s">
        <v>37</v>
      </c>
      <c r="D59" s="4" t="s">
        <v>242</v>
      </c>
      <c r="E59" s="4" t="s">
        <v>243</v>
      </c>
      <c r="F59" s="4" t="s">
        <v>239</v>
      </c>
      <c r="G59" s="4" t="s">
        <v>219</v>
      </c>
      <c r="H59" s="4" t="s">
        <v>244</v>
      </c>
      <c r="I59" s="4" t="s">
        <v>16</v>
      </c>
      <c r="J59" s="4"/>
      <c r="K59" s="4"/>
      <c r="L59" s="4"/>
      <c r="M59" s="4" t="s">
        <v>20</v>
      </c>
    </row>
    <row r="60" spans="1:13" ht="28">
      <c r="A60" s="4">
        <v>12</v>
      </c>
      <c r="B60" s="4" t="s">
        <v>245</v>
      </c>
      <c r="C60" s="4" t="s">
        <v>37</v>
      </c>
      <c r="D60" s="4" t="s">
        <v>246</v>
      </c>
      <c r="E60" s="4" t="s">
        <v>247</v>
      </c>
      <c r="F60" s="4" t="s">
        <v>248</v>
      </c>
      <c r="G60" s="4" t="s">
        <v>241</v>
      </c>
      <c r="H60" s="4" t="s">
        <v>249</v>
      </c>
      <c r="I60" s="4" t="s">
        <v>16</v>
      </c>
      <c r="J60" s="4"/>
      <c r="K60" s="4"/>
      <c r="L60" s="4"/>
      <c r="M60" s="4" t="s">
        <v>20</v>
      </c>
    </row>
    <row r="61" spans="1:13" ht="28">
      <c r="A61" s="4">
        <v>13</v>
      </c>
      <c r="B61" s="4" t="s">
        <v>250</v>
      </c>
      <c r="C61" s="4" t="s">
        <v>37</v>
      </c>
      <c r="D61" s="4" t="s">
        <v>251</v>
      </c>
      <c r="E61" s="4" t="s">
        <v>252</v>
      </c>
      <c r="F61" s="4" t="s">
        <v>248</v>
      </c>
      <c r="G61" s="4" t="s">
        <v>245</v>
      </c>
      <c r="H61" s="4" t="s">
        <v>253</v>
      </c>
      <c r="I61" s="4" t="s">
        <v>16</v>
      </c>
      <c r="J61" s="4"/>
      <c r="K61" s="4"/>
      <c r="L61" s="4"/>
      <c r="M61" s="4" t="s">
        <v>20</v>
      </c>
    </row>
    <row r="62" spans="1:13" ht="28">
      <c r="A62" s="4">
        <v>14</v>
      </c>
      <c r="B62" s="4" t="s">
        <v>254</v>
      </c>
      <c r="C62" s="4" t="s">
        <v>37</v>
      </c>
      <c r="D62" s="4" t="s">
        <v>255</v>
      </c>
      <c r="E62" s="4" t="s">
        <v>256</v>
      </c>
      <c r="F62" s="4" t="s">
        <v>257</v>
      </c>
      <c r="G62" s="4" t="s">
        <v>250</v>
      </c>
      <c r="H62" s="4" t="s">
        <v>258</v>
      </c>
      <c r="I62" s="4" t="s">
        <v>16</v>
      </c>
      <c r="J62" s="4"/>
      <c r="K62" s="4"/>
      <c r="L62" s="4"/>
      <c r="M62" s="4" t="s">
        <v>20</v>
      </c>
    </row>
    <row r="63" spans="1:13" ht="28">
      <c r="A63" s="4">
        <v>15</v>
      </c>
      <c r="B63" s="4" t="s">
        <v>240</v>
      </c>
      <c r="C63" s="4" t="s">
        <v>48</v>
      </c>
      <c r="D63" s="4" t="s">
        <v>259</v>
      </c>
      <c r="E63" s="4" t="s">
        <v>260</v>
      </c>
      <c r="F63" s="4" t="s">
        <v>226</v>
      </c>
      <c r="G63" s="4" t="s">
        <v>261</v>
      </c>
      <c r="H63" s="4" t="s">
        <v>262</v>
      </c>
      <c r="I63" s="4" t="s">
        <v>16</v>
      </c>
      <c r="J63" s="4"/>
      <c r="K63" s="4"/>
      <c r="L63" s="4"/>
      <c r="M63" s="4" t="s">
        <v>20</v>
      </c>
    </row>
    <row r="64" spans="1:13" ht="28">
      <c r="A64" s="4">
        <v>16</v>
      </c>
      <c r="B64" s="4" t="s">
        <v>262</v>
      </c>
      <c r="C64" s="4" t="s">
        <v>48</v>
      </c>
      <c r="D64" s="4" t="s">
        <v>263</v>
      </c>
      <c r="E64" s="4" t="s">
        <v>264</v>
      </c>
      <c r="F64" s="4" t="s">
        <v>239</v>
      </c>
      <c r="G64" s="4" t="s">
        <v>240</v>
      </c>
      <c r="H64" s="4" t="s">
        <v>265</v>
      </c>
      <c r="I64" s="4" t="s">
        <v>16</v>
      </c>
      <c r="J64" s="4"/>
      <c r="K64" s="4"/>
      <c r="L64" s="4"/>
      <c r="M64" s="4" t="s">
        <v>20</v>
      </c>
    </row>
    <row r="65" spans="1:13">
      <c r="A65" s="4">
        <v>17</v>
      </c>
      <c r="B65" s="4" t="s">
        <v>266</v>
      </c>
      <c r="C65" s="4" t="s">
        <v>48</v>
      </c>
      <c r="D65" s="4" t="s">
        <v>267</v>
      </c>
      <c r="E65" s="4" t="s">
        <v>268</v>
      </c>
      <c r="F65" s="4" t="s">
        <v>239</v>
      </c>
      <c r="G65" s="4" t="s">
        <v>269</v>
      </c>
      <c r="H65" s="4" t="s">
        <v>270</v>
      </c>
      <c r="I65" s="4" t="s">
        <v>16</v>
      </c>
      <c r="J65" s="4"/>
      <c r="K65" s="4"/>
      <c r="L65" s="4"/>
      <c r="M65" s="4" t="s">
        <v>20</v>
      </c>
    </row>
    <row r="66" spans="1:13">
      <c r="A66" s="4">
        <v>18</v>
      </c>
      <c r="B66" s="4" t="s">
        <v>271</v>
      </c>
      <c r="C66" s="4" t="s">
        <v>48</v>
      </c>
      <c r="D66" s="4" t="s">
        <v>272</v>
      </c>
      <c r="E66" s="4" t="s">
        <v>273</v>
      </c>
      <c r="F66" s="4" t="s">
        <v>274</v>
      </c>
      <c r="G66" s="4" t="s">
        <v>275</v>
      </c>
      <c r="H66" s="4" t="s">
        <v>276</v>
      </c>
      <c r="I66" s="4" t="s">
        <v>16</v>
      </c>
      <c r="J66" s="4"/>
      <c r="K66" s="4"/>
      <c r="L66" s="4"/>
      <c r="M66" s="4" t="s">
        <v>20</v>
      </c>
    </row>
    <row r="67" spans="1:13">
      <c r="A67" s="4">
        <v>19</v>
      </c>
      <c r="B67" s="4" t="s">
        <v>277</v>
      </c>
      <c r="C67" s="4" t="s">
        <v>48</v>
      </c>
      <c r="D67" s="4" t="s">
        <v>278</v>
      </c>
      <c r="E67" s="4" t="s">
        <v>279</v>
      </c>
      <c r="F67" s="4" t="s">
        <v>274</v>
      </c>
      <c r="G67" s="4" t="s">
        <v>271</v>
      </c>
      <c r="H67" s="4" t="s">
        <v>280</v>
      </c>
      <c r="I67" s="4" t="s">
        <v>16</v>
      </c>
      <c r="J67" s="4"/>
      <c r="K67" s="4"/>
      <c r="L67" s="4"/>
      <c r="M67" s="4" t="s">
        <v>20</v>
      </c>
    </row>
    <row r="68" spans="1:13">
      <c r="A68" s="4">
        <v>20</v>
      </c>
      <c r="B68" s="4" t="s">
        <v>280</v>
      </c>
      <c r="C68" s="4" t="s">
        <v>48</v>
      </c>
      <c r="D68" s="4" t="s">
        <v>281</v>
      </c>
      <c r="E68" s="4" t="s">
        <v>282</v>
      </c>
      <c r="F68" s="4" t="s">
        <v>283</v>
      </c>
      <c r="G68" s="4" t="s">
        <v>277</v>
      </c>
      <c r="H68" s="4" t="s">
        <v>284</v>
      </c>
      <c r="I68" s="4" t="s">
        <v>16</v>
      </c>
      <c r="J68" s="4"/>
      <c r="K68" s="4"/>
      <c r="L68" s="4"/>
      <c r="M68" s="4" t="s">
        <v>20</v>
      </c>
    </row>
    <row r="69" spans="1:13">
      <c r="A69" s="4">
        <v>21</v>
      </c>
      <c r="B69" s="4" t="s">
        <v>285</v>
      </c>
      <c r="C69" s="4" t="s">
        <v>48</v>
      </c>
      <c r="D69" s="4" t="s">
        <v>286</v>
      </c>
      <c r="E69" s="4" t="s">
        <v>287</v>
      </c>
      <c r="F69" s="4" t="s">
        <v>206</v>
      </c>
      <c r="G69" s="4" t="s">
        <v>265</v>
      </c>
      <c r="H69" s="4" t="s">
        <v>288</v>
      </c>
      <c r="I69" s="4" t="s">
        <v>16</v>
      </c>
      <c r="J69" s="4"/>
      <c r="K69" s="4"/>
      <c r="L69" s="4"/>
      <c r="M69" s="4" t="s">
        <v>20</v>
      </c>
    </row>
    <row r="70" spans="1:13">
      <c r="A70" s="4">
        <v>22</v>
      </c>
      <c r="B70" s="4" t="s">
        <v>288</v>
      </c>
      <c r="C70" s="4" t="s">
        <v>48</v>
      </c>
      <c r="D70" s="4" t="s">
        <v>289</v>
      </c>
      <c r="E70" s="4" t="s">
        <v>290</v>
      </c>
      <c r="F70" s="4" t="s">
        <v>239</v>
      </c>
      <c r="G70" s="4" t="s">
        <v>285</v>
      </c>
      <c r="H70" s="4" t="s">
        <v>291</v>
      </c>
      <c r="I70" s="4" t="s">
        <v>16</v>
      </c>
      <c r="J70" s="4"/>
      <c r="K70" s="4"/>
      <c r="L70" s="4"/>
      <c r="M70" s="4" t="s">
        <v>20</v>
      </c>
    </row>
    <row r="71" spans="1:13" ht="28">
      <c r="A71" s="4">
        <v>23</v>
      </c>
      <c r="B71" s="4" t="s">
        <v>291</v>
      </c>
      <c r="C71" s="4" t="s">
        <v>48</v>
      </c>
      <c r="D71" s="4" t="s">
        <v>292</v>
      </c>
      <c r="E71" s="4" t="s">
        <v>293</v>
      </c>
      <c r="F71" s="4" t="s">
        <v>206</v>
      </c>
      <c r="G71" s="4" t="s">
        <v>288</v>
      </c>
      <c r="H71" s="4" t="s">
        <v>294</v>
      </c>
      <c r="I71" s="4" t="s">
        <v>16</v>
      </c>
      <c r="J71" s="4"/>
      <c r="K71" s="4"/>
      <c r="L71" s="4"/>
      <c r="M71" s="4" t="s">
        <v>20</v>
      </c>
    </row>
    <row r="72" spans="1:13" ht="28">
      <c r="A72" s="4">
        <v>24</v>
      </c>
      <c r="B72" s="4" t="s">
        <v>294</v>
      </c>
      <c r="C72" s="4" t="s">
        <v>48</v>
      </c>
      <c r="D72" s="4" t="s">
        <v>295</v>
      </c>
      <c r="E72" s="4" t="s">
        <v>296</v>
      </c>
      <c r="F72" s="4" t="s">
        <v>297</v>
      </c>
      <c r="G72" s="4" t="s">
        <v>298</v>
      </c>
      <c r="H72" s="4" t="s">
        <v>299</v>
      </c>
      <c r="I72" s="4" t="s">
        <v>16</v>
      </c>
      <c r="J72" s="4"/>
      <c r="K72" s="4"/>
      <c r="L72" s="4"/>
      <c r="M72" s="4" t="s">
        <v>20</v>
      </c>
    </row>
    <row r="73" spans="1:13">
      <c r="A73" s="4">
        <v>25</v>
      </c>
      <c r="B73" s="4" t="s">
        <v>299</v>
      </c>
      <c r="C73" s="4" t="s">
        <v>48</v>
      </c>
      <c r="D73" s="4" t="s">
        <v>300</v>
      </c>
      <c r="E73" s="4" t="s">
        <v>301</v>
      </c>
      <c r="F73" s="4" t="s">
        <v>302</v>
      </c>
      <c r="G73" s="4" t="s">
        <v>294</v>
      </c>
      <c r="H73" s="4" t="s">
        <v>303</v>
      </c>
      <c r="I73" s="4" t="s">
        <v>16</v>
      </c>
      <c r="J73" s="4"/>
      <c r="K73" s="4"/>
      <c r="L73" s="4"/>
      <c r="M73" s="4" t="s">
        <v>20</v>
      </c>
    </row>
    <row r="74" spans="1:13">
      <c r="A74" s="4">
        <v>26</v>
      </c>
      <c r="B74" s="4" t="s">
        <v>304</v>
      </c>
      <c r="C74" s="4" t="s">
        <v>58</v>
      </c>
      <c r="D74" s="4" t="s">
        <v>305</v>
      </c>
      <c r="E74" s="4" t="s">
        <v>306</v>
      </c>
      <c r="F74" s="4" t="s">
        <v>239</v>
      </c>
      <c r="G74" s="4" t="s">
        <v>299</v>
      </c>
      <c r="H74" s="4" t="s">
        <v>307</v>
      </c>
      <c r="I74" s="4" t="s">
        <v>16</v>
      </c>
      <c r="J74" s="4"/>
      <c r="K74" s="4"/>
      <c r="L74" s="4"/>
      <c r="M74" s="4" t="s">
        <v>20</v>
      </c>
    </row>
    <row r="75" spans="1:13">
      <c r="A75" s="4">
        <v>27</v>
      </c>
      <c r="B75" s="4" t="s">
        <v>308</v>
      </c>
      <c r="C75" s="4" t="s">
        <v>58</v>
      </c>
      <c r="D75" s="4" t="s">
        <v>309</v>
      </c>
      <c r="E75" s="4" t="s">
        <v>310</v>
      </c>
      <c r="F75" s="4" t="s">
        <v>311</v>
      </c>
      <c r="G75" s="4" t="s">
        <v>304</v>
      </c>
      <c r="H75" s="4" t="s">
        <v>312</v>
      </c>
      <c r="I75" s="4" t="s">
        <v>16</v>
      </c>
      <c r="J75" s="4"/>
      <c r="K75" s="4"/>
      <c r="L75" s="4"/>
      <c r="M75" s="4" t="s">
        <v>20</v>
      </c>
    </row>
    <row r="76" spans="1:13" ht="28">
      <c r="A76" s="4">
        <v>28</v>
      </c>
      <c r="B76" s="4" t="s">
        <v>313</v>
      </c>
      <c r="C76" s="4" t="s">
        <v>58</v>
      </c>
      <c r="D76" s="4" t="s">
        <v>314</v>
      </c>
      <c r="E76" s="4" t="s">
        <v>315</v>
      </c>
      <c r="F76" s="4" t="s">
        <v>206</v>
      </c>
      <c r="G76" s="4" t="s">
        <v>299</v>
      </c>
      <c r="H76" s="4" t="s">
        <v>312</v>
      </c>
      <c r="I76" s="4" t="s">
        <v>16</v>
      </c>
      <c r="J76" s="4"/>
      <c r="K76" s="4"/>
      <c r="L76" s="4"/>
      <c r="M76" s="4" t="s">
        <v>20</v>
      </c>
    </row>
    <row r="77" spans="1:13">
      <c r="A77" s="4">
        <v>29</v>
      </c>
      <c r="B77" s="4" t="s">
        <v>312</v>
      </c>
      <c r="C77" s="4" t="s">
        <v>58</v>
      </c>
      <c r="D77" s="4" t="s">
        <v>316</v>
      </c>
      <c r="E77" s="4" t="s">
        <v>317</v>
      </c>
      <c r="F77" s="4" t="s">
        <v>248</v>
      </c>
      <c r="G77" s="4" t="s">
        <v>318</v>
      </c>
      <c r="H77" s="4" t="s">
        <v>319</v>
      </c>
      <c r="I77" s="4" t="s">
        <v>16</v>
      </c>
      <c r="J77" s="4"/>
      <c r="K77" s="4"/>
      <c r="L77" s="4"/>
      <c r="M77" s="4" t="s">
        <v>20</v>
      </c>
    </row>
    <row r="78" spans="1:13" ht="28">
      <c r="A78" s="4">
        <v>30</v>
      </c>
      <c r="B78" s="4" t="s">
        <v>319</v>
      </c>
      <c r="C78" s="4" t="s">
        <v>58</v>
      </c>
      <c r="D78" s="4" t="s">
        <v>259</v>
      </c>
      <c r="E78" s="4" t="s">
        <v>320</v>
      </c>
      <c r="F78" s="4" t="s">
        <v>226</v>
      </c>
      <c r="G78" s="4" t="s">
        <v>321</v>
      </c>
      <c r="H78" s="4" t="s">
        <v>322</v>
      </c>
      <c r="I78" s="4" t="s">
        <v>16</v>
      </c>
      <c r="J78" s="4"/>
      <c r="K78" s="4"/>
      <c r="L78" s="4"/>
      <c r="M78" s="4" t="s">
        <v>20</v>
      </c>
    </row>
    <row r="79" spans="1:13" ht="28">
      <c r="A79" s="4">
        <v>31</v>
      </c>
      <c r="B79" s="4" t="s">
        <v>322</v>
      </c>
      <c r="C79" s="4" t="s">
        <v>58</v>
      </c>
      <c r="D79" s="4" t="s">
        <v>263</v>
      </c>
      <c r="E79" s="4" t="s">
        <v>323</v>
      </c>
      <c r="F79" s="4" t="s">
        <v>239</v>
      </c>
      <c r="G79" s="4" t="s">
        <v>319</v>
      </c>
      <c r="H79" s="4" t="s">
        <v>324</v>
      </c>
      <c r="I79" s="4" t="s">
        <v>16</v>
      </c>
      <c r="J79" s="4"/>
      <c r="K79" s="4"/>
      <c r="L79" s="4"/>
      <c r="M79" s="4" t="s">
        <v>20</v>
      </c>
    </row>
    <row r="80" spans="1:13">
      <c r="A80" s="4">
        <v>32</v>
      </c>
      <c r="B80" s="4" t="s">
        <v>325</v>
      </c>
      <c r="C80" s="4" t="s">
        <v>58</v>
      </c>
      <c r="D80" s="4" t="s">
        <v>326</v>
      </c>
      <c r="E80" s="4" t="s">
        <v>327</v>
      </c>
      <c r="F80" s="4" t="s">
        <v>239</v>
      </c>
      <c r="G80" s="4" t="s">
        <v>328</v>
      </c>
      <c r="H80" s="4" t="s">
        <v>329</v>
      </c>
      <c r="I80" s="4" t="s">
        <v>16</v>
      </c>
      <c r="J80" s="4"/>
      <c r="K80" s="4"/>
      <c r="L80" s="4"/>
      <c r="M80" s="4" t="s">
        <v>20</v>
      </c>
    </row>
    <row r="81" spans="1:13">
      <c r="A81" s="4">
        <v>33</v>
      </c>
      <c r="B81" s="4" t="s">
        <v>330</v>
      </c>
      <c r="C81" s="4" t="s">
        <v>58</v>
      </c>
      <c r="D81" s="4" t="s">
        <v>331</v>
      </c>
      <c r="E81" s="4" t="s">
        <v>332</v>
      </c>
      <c r="F81" s="4" t="s">
        <v>274</v>
      </c>
      <c r="G81" s="4" t="s">
        <v>333</v>
      </c>
      <c r="H81" s="4" t="s">
        <v>334</v>
      </c>
      <c r="I81" s="4" t="s">
        <v>16</v>
      </c>
      <c r="J81" s="4"/>
      <c r="K81" s="4"/>
      <c r="L81" s="4"/>
      <c r="M81" s="4" t="s">
        <v>20</v>
      </c>
    </row>
    <row r="82" spans="1:13">
      <c r="A82" s="4">
        <v>34</v>
      </c>
      <c r="B82" s="4" t="s">
        <v>335</v>
      </c>
      <c r="C82" s="4" t="s">
        <v>58</v>
      </c>
      <c r="D82" s="4" t="s">
        <v>278</v>
      </c>
      <c r="E82" s="4" t="s">
        <v>336</v>
      </c>
      <c r="F82" s="4" t="s">
        <v>274</v>
      </c>
      <c r="G82" s="4" t="s">
        <v>330</v>
      </c>
      <c r="H82" s="4" t="s">
        <v>337</v>
      </c>
      <c r="I82" s="4" t="s">
        <v>16</v>
      </c>
      <c r="J82" s="4"/>
      <c r="K82" s="4"/>
      <c r="L82" s="4"/>
      <c r="M82" s="4" t="s">
        <v>20</v>
      </c>
    </row>
    <row r="83" spans="1:13">
      <c r="A83" s="4">
        <v>35</v>
      </c>
      <c r="B83" s="4" t="s">
        <v>337</v>
      </c>
      <c r="C83" s="4" t="s">
        <v>58</v>
      </c>
      <c r="D83" s="4" t="s">
        <v>281</v>
      </c>
      <c r="E83" s="4" t="s">
        <v>338</v>
      </c>
      <c r="F83" s="4" t="s">
        <v>283</v>
      </c>
      <c r="G83" s="4" t="s">
        <v>335</v>
      </c>
      <c r="H83" s="4" t="s">
        <v>339</v>
      </c>
      <c r="I83" s="4" t="s">
        <v>16</v>
      </c>
      <c r="J83" s="4"/>
      <c r="K83" s="4"/>
      <c r="L83" s="4"/>
      <c r="M83" s="4" t="s">
        <v>20</v>
      </c>
    </row>
    <row r="84" spans="1:13">
      <c r="A84" s="4">
        <v>36</v>
      </c>
      <c r="B84" s="4" t="s">
        <v>340</v>
      </c>
      <c r="C84" s="4" t="s">
        <v>58</v>
      </c>
      <c r="D84" s="4" t="s">
        <v>286</v>
      </c>
      <c r="E84" s="4" t="s">
        <v>341</v>
      </c>
      <c r="F84" s="4" t="s">
        <v>206</v>
      </c>
      <c r="G84" s="4" t="s">
        <v>324</v>
      </c>
      <c r="H84" s="4" t="s">
        <v>342</v>
      </c>
      <c r="I84" s="4" t="s">
        <v>16</v>
      </c>
      <c r="J84" s="4"/>
      <c r="K84" s="4"/>
      <c r="L84" s="4"/>
      <c r="M84" s="4" t="s">
        <v>20</v>
      </c>
    </row>
    <row r="85" spans="1:13">
      <c r="A85" s="4">
        <v>37</v>
      </c>
      <c r="B85" s="4" t="s">
        <v>342</v>
      </c>
      <c r="C85" s="4" t="s">
        <v>58</v>
      </c>
      <c r="D85" s="4" t="s">
        <v>289</v>
      </c>
      <c r="E85" s="4" t="s">
        <v>343</v>
      </c>
      <c r="F85" s="4" t="s">
        <v>239</v>
      </c>
      <c r="G85" s="4" t="s">
        <v>340</v>
      </c>
      <c r="H85" s="4" t="s">
        <v>344</v>
      </c>
      <c r="I85" s="4" t="s">
        <v>16</v>
      </c>
      <c r="J85" s="4"/>
      <c r="K85" s="4"/>
      <c r="L85" s="4"/>
      <c r="M85" s="4" t="s">
        <v>20</v>
      </c>
    </row>
    <row r="86" spans="1:13" ht="28">
      <c r="A86" s="4">
        <v>38</v>
      </c>
      <c r="B86" s="4" t="s">
        <v>344</v>
      </c>
      <c r="C86" s="4" t="s">
        <v>58</v>
      </c>
      <c r="D86" s="4" t="s">
        <v>292</v>
      </c>
      <c r="E86" s="4" t="s">
        <v>345</v>
      </c>
      <c r="F86" s="4" t="s">
        <v>206</v>
      </c>
      <c r="G86" s="4" t="s">
        <v>342</v>
      </c>
      <c r="H86" s="4" t="s">
        <v>346</v>
      </c>
      <c r="I86" s="4" t="s">
        <v>16</v>
      </c>
      <c r="J86" s="4"/>
      <c r="K86" s="4"/>
      <c r="L86" s="4"/>
      <c r="M86" s="4" t="s">
        <v>20</v>
      </c>
    </row>
    <row r="87" spans="1:13" ht="28">
      <c r="A87" s="4">
        <v>39</v>
      </c>
      <c r="B87" s="4" t="s">
        <v>346</v>
      </c>
      <c r="C87" s="4" t="s">
        <v>58</v>
      </c>
      <c r="D87" s="4" t="s">
        <v>295</v>
      </c>
      <c r="E87" s="4" t="s">
        <v>347</v>
      </c>
      <c r="F87" s="4" t="s">
        <v>297</v>
      </c>
      <c r="G87" s="4" t="s">
        <v>348</v>
      </c>
      <c r="H87" s="4" t="s">
        <v>349</v>
      </c>
      <c r="I87" s="4" t="s">
        <v>16</v>
      </c>
      <c r="J87" s="4"/>
      <c r="K87" s="4"/>
      <c r="L87" s="4"/>
      <c r="M87" s="4" t="s">
        <v>20</v>
      </c>
    </row>
    <row r="88" spans="1:13">
      <c r="A88" s="4">
        <v>40</v>
      </c>
      <c r="B88" s="4" t="s">
        <v>349</v>
      </c>
      <c r="C88" s="4" t="s">
        <v>58</v>
      </c>
      <c r="D88" s="4" t="s">
        <v>350</v>
      </c>
      <c r="E88" s="4" t="s">
        <v>351</v>
      </c>
      <c r="F88" s="4" t="s">
        <v>302</v>
      </c>
      <c r="G88" s="4" t="s">
        <v>346</v>
      </c>
      <c r="H88" s="4" t="s">
        <v>352</v>
      </c>
      <c r="I88" s="4" t="s">
        <v>16</v>
      </c>
      <c r="J88" s="4"/>
      <c r="K88" s="4"/>
      <c r="L88" s="4"/>
      <c r="M88" s="4" t="s">
        <v>20</v>
      </c>
    </row>
    <row r="89" spans="1:13">
      <c r="A89" s="4">
        <v>41</v>
      </c>
      <c r="B89" s="4" t="s">
        <v>353</v>
      </c>
      <c r="C89" s="4" t="s">
        <v>65</v>
      </c>
      <c r="D89" s="4" t="s">
        <v>354</v>
      </c>
      <c r="E89" s="4" t="s">
        <v>355</v>
      </c>
      <c r="F89" s="4" t="s">
        <v>356</v>
      </c>
      <c r="G89" s="4" t="s">
        <v>357</v>
      </c>
      <c r="H89" s="4" t="s">
        <v>358</v>
      </c>
      <c r="I89" s="4" t="s">
        <v>16</v>
      </c>
      <c r="J89" s="4"/>
      <c r="K89" s="4"/>
      <c r="L89" s="4"/>
      <c r="M89" s="4" t="s">
        <v>20</v>
      </c>
    </row>
    <row r="90" spans="1:13" ht="28">
      <c r="A90" s="4">
        <v>42</v>
      </c>
      <c r="B90" s="4" t="s">
        <v>359</v>
      </c>
      <c r="C90" s="4" t="s">
        <v>65</v>
      </c>
      <c r="D90" s="4" t="s">
        <v>360</v>
      </c>
      <c r="E90" s="4" t="s">
        <v>361</v>
      </c>
      <c r="F90" s="4" t="s">
        <v>206</v>
      </c>
      <c r="G90" s="4" t="s">
        <v>349</v>
      </c>
      <c r="H90" s="4" t="s">
        <v>362</v>
      </c>
      <c r="I90" s="4" t="s">
        <v>16</v>
      </c>
      <c r="J90" s="4"/>
      <c r="K90" s="4"/>
      <c r="L90" s="4"/>
      <c r="M90" s="4" t="s">
        <v>20</v>
      </c>
    </row>
    <row r="91" spans="1:13">
      <c r="A91" s="4">
        <v>43</v>
      </c>
      <c r="B91" s="4" t="s">
        <v>362</v>
      </c>
      <c r="C91" s="4" t="s">
        <v>65</v>
      </c>
      <c r="D91" s="4" t="s">
        <v>363</v>
      </c>
      <c r="E91" s="4" t="s">
        <v>364</v>
      </c>
      <c r="F91" s="4" t="s">
        <v>248</v>
      </c>
      <c r="G91" s="4" t="s">
        <v>365</v>
      </c>
      <c r="H91" s="4" t="s">
        <v>366</v>
      </c>
      <c r="I91" s="4" t="s">
        <v>16</v>
      </c>
      <c r="J91" s="4"/>
      <c r="K91" s="4"/>
      <c r="L91" s="4"/>
      <c r="M91" s="4" t="s">
        <v>20</v>
      </c>
    </row>
    <row r="92" spans="1:13">
      <c r="A92" s="4">
        <v>44</v>
      </c>
      <c r="B92" s="4" t="s">
        <v>366</v>
      </c>
      <c r="C92" s="4" t="s">
        <v>65</v>
      </c>
      <c r="D92" s="4" t="s">
        <v>367</v>
      </c>
      <c r="E92" s="4" t="s">
        <v>256</v>
      </c>
      <c r="F92" s="4" t="s">
        <v>257</v>
      </c>
      <c r="G92" s="4" t="s">
        <v>368</v>
      </c>
      <c r="H92" s="4" t="s">
        <v>358</v>
      </c>
      <c r="I92" s="4" t="s">
        <v>16</v>
      </c>
      <c r="J92" s="4"/>
      <c r="K92" s="4"/>
      <c r="L92" s="4"/>
      <c r="M92" s="4" t="s">
        <v>20</v>
      </c>
    </row>
    <row r="93" spans="1:13" ht="28">
      <c r="A93" s="4">
        <v>45</v>
      </c>
      <c r="B93" s="4" t="s">
        <v>358</v>
      </c>
      <c r="C93" s="4" t="s">
        <v>65</v>
      </c>
      <c r="D93" s="4" t="s">
        <v>259</v>
      </c>
      <c r="E93" s="4" t="s">
        <v>369</v>
      </c>
      <c r="F93" s="4" t="s">
        <v>226</v>
      </c>
      <c r="G93" s="4" t="s">
        <v>370</v>
      </c>
      <c r="H93" s="4" t="s">
        <v>371</v>
      </c>
      <c r="I93" s="4" t="s">
        <v>16</v>
      </c>
      <c r="J93" s="4"/>
      <c r="K93" s="4"/>
      <c r="L93" s="4"/>
      <c r="M93" s="4" t="s">
        <v>20</v>
      </c>
    </row>
    <row r="94" spans="1:13" ht="28">
      <c r="A94" s="4">
        <v>46</v>
      </c>
      <c r="B94" s="4" t="s">
        <v>371</v>
      </c>
      <c r="C94" s="4" t="s">
        <v>65</v>
      </c>
      <c r="D94" s="4" t="s">
        <v>263</v>
      </c>
      <c r="E94" s="4" t="s">
        <v>372</v>
      </c>
      <c r="F94" s="4" t="s">
        <v>239</v>
      </c>
      <c r="G94" s="4" t="s">
        <v>358</v>
      </c>
      <c r="H94" s="4" t="s">
        <v>373</v>
      </c>
      <c r="I94" s="4" t="s">
        <v>16</v>
      </c>
      <c r="J94" s="4"/>
      <c r="K94" s="4"/>
      <c r="L94" s="4"/>
      <c r="M94" s="4" t="s">
        <v>20</v>
      </c>
    </row>
    <row r="95" spans="1:13">
      <c r="A95" s="4">
        <v>47</v>
      </c>
      <c r="B95" s="4" t="s">
        <v>374</v>
      </c>
      <c r="C95" s="4" t="s">
        <v>65</v>
      </c>
      <c r="D95" s="4" t="s">
        <v>375</v>
      </c>
      <c r="E95" s="4" t="s">
        <v>376</v>
      </c>
      <c r="F95" s="4" t="s">
        <v>239</v>
      </c>
      <c r="G95" s="4" t="s">
        <v>377</v>
      </c>
      <c r="H95" s="4" t="s">
        <v>378</v>
      </c>
      <c r="I95" s="4" t="s">
        <v>16</v>
      </c>
      <c r="J95" s="4"/>
      <c r="K95" s="4"/>
      <c r="L95" s="4"/>
      <c r="M95" s="4" t="s">
        <v>20</v>
      </c>
    </row>
    <row r="96" spans="1:13">
      <c r="A96" s="4">
        <v>48</v>
      </c>
      <c r="B96" s="4" t="s">
        <v>379</v>
      </c>
      <c r="C96" s="4" t="s">
        <v>65</v>
      </c>
      <c r="D96" s="4" t="s">
        <v>380</v>
      </c>
      <c r="E96" s="4" t="s">
        <v>381</v>
      </c>
      <c r="F96" s="4" t="s">
        <v>274</v>
      </c>
      <c r="G96" s="4" t="s">
        <v>382</v>
      </c>
      <c r="H96" s="4" t="s">
        <v>383</v>
      </c>
      <c r="I96" s="4" t="s">
        <v>16</v>
      </c>
      <c r="J96" s="4"/>
      <c r="K96" s="4"/>
      <c r="L96" s="4"/>
      <c r="M96" s="4" t="s">
        <v>20</v>
      </c>
    </row>
    <row r="97" spans="1:13">
      <c r="A97" s="4">
        <v>49</v>
      </c>
      <c r="B97" s="4" t="s">
        <v>384</v>
      </c>
      <c r="C97" s="4" t="s">
        <v>65</v>
      </c>
      <c r="D97" s="4" t="s">
        <v>278</v>
      </c>
      <c r="E97" s="4" t="s">
        <v>385</v>
      </c>
      <c r="F97" s="4" t="s">
        <v>274</v>
      </c>
      <c r="G97" s="4" t="s">
        <v>379</v>
      </c>
      <c r="H97" s="4" t="s">
        <v>386</v>
      </c>
      <c r="I97" s="4" t="s">
        <v>16</v>
      </c>
      <c r="J97" s="4"/>
      <c r="K97" s="4"/>
      <c r="L97" s="4"/>
      <c r="M97" s="4" t="s">
        <v>20</v>
      </c>
    </row>
    <row r="98" spans="1:13">
      <c r="A98" s="4">
        <v>50</v>
      </c>
      <c r="B98" s="4" t="s">
        <v>386</v>
      </c>
      <c r="C98" s="4" t="s">
        <v>65</v>
      </c>
      <c r="D98" s="4" t="s">
        <v>281</v>
      </c>
      <c r="E98" s="4" t="s">
        <v>387</v>
      </c>
      <c r="F98" s="4" t="s">
        <v>283</v>
      </c>
      <c r="G98" s="4" t="s">
        <v>384</v>
      </c>
      <c r="H98" s="4" t="s">
        <v>388</v>
      </c>
      <c r="I98" s="4" t="s">
        <v>16</v>
      </c>
      <c r="J98" s="4"/>
      <c r="K98" s="4"/>
      <c r="L98" s="4"/>
      <c r="M98" s="4" t="s">
        <v>20</v>
      </c>
    </row>
    <row r="99" spans="1:13">
      <c r="A99" s="4">
        <v>51</v>
      </c>
      <c r="B99" s="4" t="s">
        <v>389</v>
      </c>
      <c r="C99" s="4" t="s">
        <v>65</v>
      </c>
      <c r="D99" s="4" t="s">
        <v>286</v>
      </c>
      <c r="E99" s="4" t="s">
        <v>390</v>
      </c>
      <c r="F99" s="4" t="s">
        <v>206</v>
      </c>
      <c r="G99" s="4" t="s">
        <v>373</v>
      </c>
      <c r="H99" s="4" t="s">
        <v>391</v>
      </c>
      <c r="I99" s="4" t="s">
        <v>16</v>
      </c>
      <c r="J99" s="4"/>
      <c r="K99" s="4"/>
      <c r="L99" s="4"/>
      <c r="M99" s="4" t="s">
        <v>20</v>
      </c>
    </row>
    <row r="100" spans="1:13">
      <c r="A100" s="4">
        <v>52</v>
      </c>
      <c r="B100" s="4" t="s">
        <v>391</v>
      </c>
      <c r="C100" s="4" t="s">
        <v>65</v>
      </c>
      <c r="D100" s="4" t="s">
        <v>289</v>
      </c>
      <c r="E100" s="4" t="s">
        <v>392</v>
      </c>
      <c r="F100" s="4" t="s">
        <v>239</v>
      </c>
      <c r="G100" s="4" t="s">
        <v>389</v>
      </c>
      <c r="H100" s="4" t="s">
        <v>393</v>
      </c>
      <c r="I100" s="4" t="s">
        <v>16</v>
      </c>
      <c r="J100" s="4"/>
      <c r="K100" s="4"/>
      <c r="L100" s="4"/>
      <c r="M100" s="4" t="s">
        <v>20</v>
      </c>
    </row>
    <row r="101" spans="1:13" ht="28">
      <c r="A101" s="4">
        <v>53</v>
      </c>
      <c r="B101" s="4" t="s">
        <v>393</v>
      </c>
      <c r="C101" s="4" t="s">
        <v>65</v>
      </c>
      <c r="D101" s="4" t="s">
        <v>292</v>
      </c>
      <c r="E101" s="4" t="s">
        <v>394</v>
      </c>
      <c r="F101" s="4" t="s">
        <v>206</v>
      </c>
      <c r="G101" s="4" t="s">
        <v>391</v>
      </c>
      <c r="H101" s="4" t="s">
        <v>395</v>
      </c>
      <c r="I101" s="4" t="s">
        <v>16</v>
      </c>
      <c r="J101" s="4"/>
      <c r="K101" s="4"/>
      <c r="L101" s="4"/>
      <c r="M101" s="4" t="s">
        <v>20</v>
      </c>
    </row>
    <row r="102" spans="1:13" ht="28">
      <c r="A102" s="4">
        <v>54</v>
      </c>
      <c r="B102" s="4" t="s">
        <v>395</v>
      </c>
      <c r="C102" s="4" t="s">
        <v>65</v>
      </c>
      <c r="D102" s="4" t="s">
        <v>295</v>
      </c>
      <c r="E102" s="4" t="s">
        <v>396</v>
      </c>
      <c r="F102" s="4" t="s">
        <v>297</v>
      </c>
      <c r="G102" s="4" t="s">
        <v>397</v>
      </c>
      <c r="H102" s="4" t="s">
        <v>398</v>
      </c>
      <c r="I102" s="4" t="s">
        <v>16</v>
      </c>
      <c r="J102" s="4"/>
      <c r="K102" s="4"/>
      <c r="L102" s="4"/>
      <c r="M102" s="4" t="s">
        <v>20</v>
      </c>
    </row>
    <row r="103" spans="1:13">
      <c r="A103" s="4">
        <v>55</v>
      </c>
      <c r="B103" s="4" t="s">
        <v>398</v>
      </c>
      <c r="C103" s="4" t="s">
        <v>65</v>
      </c>
      <c r="D103" s="4" t="s">
        <v>399</v>
      </c>
      <c r="E103" s="4" t="s">
        <v>400</v>
      </c>
      <c r="F103" s="4" t="s">
        <v>297</v>
      </c>
      <c r="G103" s="4" t="s">
        <v>395</v>
      </c>
      <c r="H103" s="4" t="s">
        <v>401</v>
      </c>
      <c r="I103" s="4" t="s">
        <v>16</v>
      </c>
      <c r="J103" s="4"/>
      <c r="K103" s="4"/>
      <c r="L103" s="4"/>
      <c r="M103" s="4" t="s">
        <v>20</v>
      </c>
    </row>
    <row r="104" spans="1:13">
      <c r="A104" s="4">
        <v>56</v>
      </c>
      <c r="B104" s="4" t="s">
        <v>402</v>
      </c>
      <c r="C104" s="4" t="s">
        <v>65</v>
      </c>
      <c r="D104" s="4" t="s">
        <v>403</v>
      </c>
      <c r="E104" s="4" t="s">
        <v>404</v>
      </c>
      <c r="F104" s="4" t="s">
        <v>302</v>
      </c>
      <c r="G104" s="4" t="s">
        <v>398</v>
      </c>
      <c r="H104" s="4" t="s">
        <v>405</v>
      </c>
      <c r="I104" s="4" t="s">
        <v>16</v>
      </c>
      <c r="J104" s="4"/>
      <c r="K104" s="4"/>
      <c r="L104" s="4"/>
      <c r="M104" s="4" t="s">
        <v>20</v>
      </c>
    </row>
    <row r="105" spans="1:13">
      <c r="A105" s="4">
        <v>57</v>
      </c>
      <c r="B105" s="4" t="s">
        <v>406</v>
      </c>
      <c r="C105" s="4" t="s">
        <v>73</v>
      </c>
      <c r="D105" s="4" t="s">
        <v>407</v>
      </c>
      <c r="E105" s="4" t="s">
        <v>408</v>
      </c>
      <c r="F105" s="4" t="s">
        <v>206</v>
      </c>
      <c r="G105" s="4" t="s">
        <v>402</v>
      </c>
      <c r="H105" s="4" t="s">
        <v>409</v>
      </c>
      <c r="I105" s="4" t="s">
        <v>16</v>
      </c>
      <c r="J105" s="4"/>
      <c r="K105" s="4"/>
      <c r="L105" s="4"/>
      <c r="M105" s="4" t="s">
        <v>20</v>
      </c>
    </row>
    <row r="106" spans="1:13">
      <c r="A106" s="4">
        <v>58</v>
      </c>
      <c r="B106" s="4" t="s">
        <v>410</v>
      </c>
      <c r="C106" s="4" t="s">
        <v>73</v>
      </c>
      <c r="D106" s="4" t="s">
        <v>411</v>
      </c>
      <c r="E106" s="4" t="s">
        <v>412</v>
      </c>
      <c r="F106" s="4" t="s">
        <v>413</v>
      </c>
      <c r="G106" s="4" t="s">
        <v>398</v>
      </c>
      <c r="H106" s="4" t="s">
        <v>414</v>
      </c>
      <c r="I106" s="4" t="s">
        <v>16</v>
      </c>
      <c r="J106" s="4"/>
      <c r="K106" s="4"/>
      <c r="L106" s="4"/>
      <c r="M106" s="4" t="s">
        <v>20</v>
      </c>
    </row>
    <row r="107" spans="1:13">
      <c r="A107" s="4">
        <v>59</v>
      </c>
      <c r="B107" s="4" t="s">
        <v>415</v>
      </c>
      <c r="C107" s="4" t="s">
        <v>73</v>
      </c>
      <c r="D107" s="4" t="s">
        <v>416</v>
      </c>
      <c r="E107" s="4" t="s">
        <v>417</v>
      </c>
      <c r="F107" s="4" t="s">
        <v>178</v>
      </c>
      <c r="G107" s="4" t="s">
        <v>406</v>
      </c>
      <c r="H107" s="4" t="s">
        <v>414</v>
      </c>
      <c r="I107" s="4" t="s">
        <v>16</v>
      </c>
      <c r="J107" s="4"/>
      <c r="K107" s="4"/>
      <c r="L107" s="4"/>
      <c r="M107" s="4" t="s">
        <v>20</v>
      </c>
    </row>
    <row r="108" spans="1:13">
      <c r="A108" s="4">
        <v>60</v>
      </c>
      <c r="B108" s="4" t="s">
        <v>418</v>
      </c>
      <c r="C108" s="4" t="s">
        <v>73</v>
      </c>
      <c r="D108" s="4" t="s">
        <v>419</v>
      </c>
      <c r="E108" s="4" t="s">
        <v>420</v>
      </c>
      <c r="F108" s="4" t="s">
        <v>421</v>
      </c>
      <c r="G108" s="4" t="s">
        <v>422</v>
      </c>
      <c r="H108" s="4" t="s">
        <v>414</v>
      </c>
      <c r="I108" s="4" t="s">
        <v>16</v>
      </c>
      <c r="J108" s="4"/>
      <c r="K108" s="4"/>
      <c r="L108" s="4"/>
      <c r="M108" s="4" t="s">
        <v>20</v>
      </c>
    </row>
    <row r="109" spans="1:13">
      <c r="A109" s="4">
        <v>61</v>
      </c>
      <c r="B109" s="4" t="s">
        <v>423</v>
      </c>
      <c r="C109" s="4" t="s">
        <v>73</v>
      </c>
      <c r="D109" s="4" t="s">
        <v>424</v>
      </c>
      <c r="E109" s="4" t="s">
        <v>424</v>
      </c>
      <c r="F109" s="4" t="s">
        <v>425</v>
      </c>
      <c r="G109" s="4" t="s">
        <v>426</v>
      </c>
      <c r="H109" s="4" t="s">
        <v>414</v>
      </c>
      <c r="I109" s="4" t="s">
        <v>16</v>
      </c>
      <c r="J109" s="4"/>
      <c r="K109" s="4"/>
      <c r="L109" s="4"/>
      <c r="M109" s="4" t="s">
        <v>20</v>
      </c>
    </row>
    <row r="110" spans="1:13">
      <c r="A110" s="4">
        <v>62</v>
      </c>
      <c r="B110" s="4" t="s">
        <v>427</v>
      </c>
      <c r="C110" s="4" t="s">
        <v>73</v>
      </c>
      <c r="D110" s="4" t="s">
        <v>428</v>
      </c>
      <c r="E110" s="4" t="s">
        <v>429</v>
      </c>
      <c r="F110" s="4" t="s">
        <v>430</v>
      </c>
      <c r="G110" s="4" t="s">
        <v>426</v>
      </c>
      <c r="H110" s="4" t="s">
        <v>414</v>
      </c>
      <c r="I110" s="4" t="s">
        <v>16</v>
      </c>
      <c r="J110" s="4"/>
      <c r="K110" s="4"/>
      <c r="L110" s="4"/>
      <c r="M110" s="4" t="s">
        <v>20</v>
      </c>
    </row>
    <row r="111" spans="1:13">
      <c r="A111" s="4">
        <v>63</v>
      </c>
      <c r="B111" s="4" t="s">
        <v>414</v>
      </c>
      <c r="C111" s="4" t="s">
        <v>73</v>
      </c>
      <c r="D111" s="4" t="s">
        <v>431</v>
      </c>
      <c r="E111" s="4" t="s">
        <v>431</v>
      </c>
      <c r="F111" s="4" t="s">
        <v>432</v>
      </c>
      <c r="G111" s="4" t="s">
        <v>433</v>
      </c>
      <c r="H111" s="4"/>
      <c r="I111" s="4" t="s">
        <v>16</v>
      </c>
      <c r="J111" s="4"/>
      <c r="K111" s="4"/>
      <c r="L111" s="4"/>
      <c r="M111" s="4" t="s">
        <v>20</v>
      </c>
    </row>
    <row r="113" spans="1:13">
      <c r="A113" s="6" t="s">
        <v>524</v>
      </c>
      <c r="B113" s="6"/>
      <c r="C113" s="6"/>
      <c r="D113" s="6"/>
      <c r="E113" s="6"/>
      <c r="F113" s="6"/>
      <c r="G113" s="6"/>
      <c r="H113" s="6"/>
      <c r="I113" s="6"/>
      <c r="J113" s="6"/>
    </row>
    <row r="114" spans="1:13">
      <c r="A114" s="1" t="s">
        <v>525</v>
      </c>
      <c r="B114" s="1" t="s">
        <v>526</v>
      </c>
      <c r="C114" s="1" t="s">
        <v>459</v>
      </c>
      <c r="D114" s="1" t="s">
        <v>3</v>
      </c>
      <c r="E114" s="1" t="s">
        <v>4</v>
      </c>
      <c r="F114" s="1" t="s">
        <v>511</v>
      </c>
      <c r="G114" s="1" t="s">
        <v>527</v>
      </c>
      <c r="H114" s="1" t="s">
        <v>528</v>
      </c>
      <c r="I114" s="1" t="s">
        <v>529</v>
      </c>
      <c r="J114" s="1" t="s">
        <v>530</v>
      </c>
      <c r="K114" s="1" t="s">
        <v>440</v>
      </c>
    </row>
    <row r="115" spans="1:13">
      <c r="A115" t="s">
        <v>716</v>
      </c>
      <c r="B115" t="s">
        <v>717</v>
      </c>
      <c r="C115" t="s">
        <v>178</v>
      </c>
      <c r="D115" t="s">
        <v>40</v>
      </c>
      <c r="E115" t="s">
        <v>41</v>
      </c>
      <c r="F115" t="s">
        <v>181</v>
      </c>
      <c r="G115" t="s">
        <v>718</v>
      </c>
      <c r="H115" t="s">
        <v>719</v>
      </c>
      <c r="I115" t="s">
        <v>603</v>
      </c>
      <c r="J115" t="s">
        <v>501</v>
      </c>
      <c r="K115" t="s">
        <v>20</v>
      </c>
    </row>
    <row r="116" spans="1:13">
      <c r="A116" t="s">
        <v>720</v>
      </c>
      <c r="B116" t="s">
        <v>721</v>
      </c>
      <c r="C116" t="s">
        <v>217</v>
      </c>
      <c r="D116" t="s">
        <v>16</v>
      </c>
      <c r="E116" t="s">
        <v>29</v>
      </c>
      <c r="F116" t="s">
        <v>51</v>
      </c>
      <c r="G116" t="s">
        <v>722</v>
      </c>
      <c r="H116" t="s">
        <v>723</v>
      </c>
      <c r="I116" t="s">
        <v>603</v>
      </c>
      <c r="J116" t="s">
        <v>501</v>
      </c>
      <c r="K116" t="s">
        <v>20</v>
      </c>
    </row>
    <row r="117" spans="1:13">
      <c r="A117" t="s">
        <v>724</v>
      </c>
      <c r="B117" t="s">
        <v>725</v>
      </c>
      <c r="C117" t="s">
        <v>178</v>
      </c>
      <c r="D117" t="s">
        <v>16</v>
      </c>
      <c r="E117" t="s">
        <v>29</v>
      </c>
      <c r="F117" t="s">
        <v>51</v>
      </c>
      <c r="G117" t="s">
        <v>658</v>
      </c>
      <c r="H117" t="s">
        <v>726</v>
      </c>
      <c r="I117" t="s">
        <v>603</v>
      </c>
      <c r="J117" t="s">
        <v>501</v>
      </c>
      <c r="K117" t="s">
        <v>20</v>
      </c>
    </row>
    <row r="118" spans="1:13">
      <c r="A118" t="s">
        <v>727</v>
      </c>
      <c r="B118" t="s">
        <v>728</v>
      </c>
      <c r="C118" t="s">
        <v>610</v>
      </c>
      <c r="D118" t="s">
        <v>16</v>
      </c>
      <c r="E118" t="s">
        <v>17</v>
      </c>
      <c r="F118" t="s">
        <v>704</v>
      </c>
      <c r="G118" t="s">
        <v>729</v>
      </c>
      <c r="H118" t="s">
        <v>730</v>
      </c>
      <c r="I118" t="s">
        <v>603</v>
      </c>
      <c r="J118" t="s">
        <v>501</v>
      </c>
      <c r="K118" t="s">
        <v>20</v>
      </c>
    </row>
    <row r="120" spans="1:13">
      <c r="A120" s="6" t="s">
        <v>546</v>
      </c>
      <c r="B120" s="6"/>
      <c r="C120" s="6"/>
      <c r="D120" s="6"/>
      <c r="E120" s="6"/>
      <c r="F120" s="6"/>
      <c r="G120" s="6"/>
      <c r="H120" s="6"/>
      <c r="I120" s="6"/>
      <c r="J120" s="6"/>
    </row>
    <row r="121" spans="1:13">
      <c r="A121" s="1" t="s">
        <v>547</v>
      </c>
      <c r="B121" s="1" t="s">
        <v>472</v>
      </c>
      <c r="C121" s="1" t="s">
        <v>548</v>
      </c>
      <c r="D121" s="1" t="s">
        <v>474</v>
      </c>
      <c r="E121" s="1" t="s">
        <v>523</v>
      </c>
      <c r="F121" s="1" t="s">
        <v>511</v>
      </c>
      <c r="G121" s="1" t="s">
        <v>3</v>
      </c>
      <c r="H121" s="1" t="s">
        <v>549</v>
      </c>
      <c r="I121" s="1" t="s">
        <v>550</v>
      </c>
      <c r="J121" s="1" t="s">
        <v>551</v>
      </c>
      <c r="K121" s="1" t="s">
        <v>9</v>
      </c>
      <c r="L121" s="1" t="s">
        <v>552</v>
      </c>
      <c r="M121" s="1" t="s">
        <v>440</v>
      </c>
    </row>
    <row r="122" spans="1:13">
      <c r="A122" t="s">
        <v>731</v>
      </c>
      <c r="B122" t="s">
        <v>501</v>
      </c>
      <c r="C122" t="s">
        <v>732</v>
      </c>
      <c r="D122" t="s">
        <v>178</v>
      </c>
      <c r="E122" t="s">
        <v>463</v>
      </c>
      <c r="F122" t="s">
        <v>181</v>
      </c>
      <c r="G122" t="s">
        <v>40</v>
      </c>
      <c r="H122" t="s">
        <v>733</v>
      </c>
      <c r="I122" t="s">
        <v>716</v>
      </c>
      <c r="J122" t="s">
        <v>717</v>
      </c>
      <c r="K122" t="s">
        <v>603</v>
      </c>
      <c r="M122" t="s">
        <v>20</v>
      </c>
    </row>
    <row r="124" spans="1:13">
      <c r="A124" s="6" t="s">
        <v>560</v>
      </c>
      <c r="B124" s="6"/>
      <c r="C124" s="6"/>
      <c r="D124" s="6"/>
      <c r="E124" s="6"/>
      <c r="F124" s="6"/>
      <c r="G124" s="6"/>
      <c r="H124" s="6"/>
      <c r="I124" s="6"/>
      <c r="J124" s="6"/>
    </row>
    <row r="125" spans="1:13">
      <c r="A125" s="1" t="s">
        <v>561</v>
      </c>
      <c r="B125" s="1" t="s">
        <v>13</v>
      </c>
      <c r="C125" s="1" t="s">
        <v>459</v>
      </c>
      <c r="D125" s="1" t="s">
        <v>511</v>
      </c>
      <c r="E125" s="1" t="s">
        <v>3</v>
      </c>
      <c r="F125" s="1" t="s">
        <v>461</v>
      </c>
      <c r="G125" s="1" t="s">
        <v>440</v>
      </c>
    </row>
    <row r="126" spans="1:13">
      <c r="A126" t="s">
        <v>734</v>
      </c>
      <c r="B126" t="s">
        <v>41</v>
      </c>
      <c r="E126" t="s">
        <v>85</v>
      </c>
      <c r="G126" t="s">
        <v>20</v>
      </c>
    </row>
  </sheetData>
  <mergeCells count="1">
    <mergeCell ref="A1:J1"/>
  </mergeCells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3"/>
  <sheetViews>
    <sheetView topLeftCell="A3" workbookViewId="0">
      <selection activeCell="E17" sqref="E17"/>
    </sheetView>
  </sheetViews>
  <sheetFormatPr defaultRowHeight="14"/>
  <cols>
    <col min="1" max="1" width="14" customWidth="1"/>
    <col min="2" max="2" width="16" customWidth="1"/>
    <col min="3" max="3" width="28" customWidth="1"/>
    <col min="4" max="4" width="18" customWidth="1"/>
    <col min="5" max="5" width="48" customWidth="1"/>
    <col min="6" max="6" width="28" customWidth="1"/>
    <col min="7" max="8" width="24" customWidth="1"/>
    <col min="9" max="10" width="18" customWidth="1"/>
    <col min="11" max="11" width="16" customWidth="1"/>
    <col min="12" max="12" width="30" customWidth="1"/>
    <col min="13" max="13" width="12" customWidth="1"/>
  </cols>
  <sheetData>
    <row r="1" spans="1:13" ht="18">
      <c r="A1" s="22" t="s">
        <v>735</v>
      </c>
      <c r="B1" s="22"/>
      <c r="C1" s="22"/>
      <c r="D1" s="22"/>
      <c r="E1" s="22"/>
      <c r="F1" s="22"/>
      <c r="G1" s="22"/>
      <c r="H1" s="22"/>
      <c r="I1" s="22"/>
      <c r="J1" s="22"/>
      <c r="K1" s="4"/>
      <c r="L1" s="4"/>
      <c r="M1" s="4"/>
    </row>
    <row r="3" spans="1:13">
      <c r="A3" s="6" t="s">
        <v>492</v>
      </c>
      <c r="B3" s="6"/>
      <c r="C3" s="6"/>
      <c r="D3" s="6"/>
      <c r="E3" s="6"/>
      <c r="F3" s="6"/>
      <c r="G3" s="6"/>
      <c r="H3" s="6"/>
      <c r="I3" s="6"/>
      <c r="J3" s="6"/>
    </row>
    <row r="4" spans="1:13">
      <c r="A4" s="1" t="s">
        <v>493</v>
      </c>
      <c r="B4" s="1" t="s">
        <v>494</v>
      </c>
      <c r="C4" s="1" t="s">
        <v>440</v>
      </c>
      <c r="D4" s="1" t="s">
        <v>461</v>
      </c>
    </row>
    <row r="5" spans="1:13">
      <c r="A5" t="s">
        <v>120</v>
      </c>
      <c r="B5" t="s">
        <v>183</v>
      </c>
      <c r="C5" t="s">
        <v>20</v>
      </c>
    </row>
    <row r="6" spans="1:13">
      <c r="A6" t="s">
        <v>121</v>
      </c>
      <c r="B6" t="s">
        <v>184</v>
      </c>
      <c r="C6" t="s">
        <v>20</v>
      </c>
    </row>
    <row r="7" spans="1:13">
      <c r="A7" t="s">
        <v>122</v>
      </c>
      <c r="B7" t="s">
        <v>184</v>
      </c>
      <c r="C7" t="s">
        <v>20</v>
      </c>
    </row>
    <row r="8" spans="1:13">
      <c r="A8" t="s">
        <v>5</v>
      </c>
      <c r="B8" t="s">
        <v>42</v>
      </c>
      <c r="C8" t="s">
        <v>20</v>
      </c>
    </row>
    <row r="9" spans="1:13">
      <c r="A9" t="s">
        <v>3</v>
      </c>
      <c r="B9" t="s">
        <v>83</v>
      </c>
      <c r="C9" t="s">
        <v>20</v>
      </c>
    </row>
    <row r="10" spans="1:13">
      <c r="A10" t="s">
        <v>4</v>
      </c>
      <c r="B10" t="s">
        <v>29</v>
      </c>
      <c r="C10" t="s">
        <v>20</v>
      </c>
    </row>
    <row r="11" spans="1:13">
      <c r="A11" t="s">
        <v>6</v>
      </c>
      <c r="B11" t="s">
        <v>51</v>
      </c>
      <c r="C11" t="s">
        <v>20</v>
      </c>
    </row>
    <row r="12" spans="1:13">
      <c r="A12" t="s">
        <v>123</v>
      </c>
      <c r="B12" t="s">
        <v>51</v>
      </c>
      <c r="C12" t="s">
        <v>20</v>
      </c>
    </row>
    <row r="13" spans="1:13">
      <c r="A13" t="s">
        <v>124</v>
      </c>
      <c r="B13" t="s">
        <v>185</v>
      </c>
      <c r="C13" t="s">
        <v>20</v>
      </c>
    </row>
    <row r="14" spans="1:13">
      <c r="A14" t="s">
        <v>495</v>
      </c>
      <c r="B14" t="s">
        <v>736</v>
      </c>
      <c r="C14" t="s">
        <v>20</v>
      </c>
    </row>
    <row r="15" spans="1:13">
      <c r="A15" t="s">
        <v>125</v>
      </c>
      <c r="B15" t="s">
        <v>186</v>
      </c>
      <c r="C15" t="s">
        <v>20</v>
      </c>
    </row>
    <row r="16" spans="1:13">
      <c r="A16" t="s">
        <v>126</v>
      </c>
      <c r="B16" t="s">
        <v>51</v>
      </c>
      <c r="C16" t="s">
        <v>20</v>
      </c>
    </row>
    <row r="17" spans="1:10">
      <c r="A17" t="s">
        <v>497</v>
      </c>
      <c r="B17" t="s">
        <v>737</v>
      </c>
      <c r="C17" t="s">
        <v>20</v>
      </c>
    </row>
    <row r="18" spans="1:10">
      <c r="A18" t="s">
        <v>127</v>
      </c>
      <c r="B18" t="s">
        <v>16</v>
      </c>
      <c r="C18" t="s">
        <v>20</v>
      </c>
    </row>
    <row r="19" spans="1:10">
      <c r="A19" t="s">
        <v>128</v>
      </c>
      <c r="B19" t="s">
        <v>20</v>
      </c>
      <c r="C19" t="s">
        <v>20</v>
      </c>
      <c r="D19" t="s">
        <v>499</v>
      </c>
    </row>
    <row r="20" spans="1:10">
      <c r="A20" t="s">
        <v>500</v>
      </c>
      <c r="B20" t="s">
        <v>501</v>
      </c>
      <c r="C20" t="s">
        <v>20</v>
      </c>
    </row>
    <row r="22" spans="1:10">
      <c r="A22" s="6" t="s">
        <v>502</v>
      </c>
      <c r="B22" s="6"/>
      <c r="C22" s="6"/>
      <c r="D22" s="6"/>
      <c r="E22" s="6"/>
      <c r="F22" s="6"/>
      <c r="G22" s="6"/>
      <c r="H22" s="6"/>
      <c r="I22" s="6"/>
      <c r="J22" s="6"/>
    </row>
    <row r="23" spans="1:10">
      <c r="A23" s="1" t="s">
        <v>503</v>
      </c>
      <c r="B23" s="1" t="s">
        <v>3</v>
      </c>
      <c r="C23" s="1" t="s">
        <v>459</v>
      </c>
      <c r="D23" s="1" t="s">
        <v>126</v>
      </c>
      <c r="E23" s="1" t="s">
        <v>461</v>
      </c>
      <c r="F23" s="1" t="s">
        <v>440</v>
      </c>
    </row>
    <row r="24" spans="1:10">
      <c r="A24" t="s">
        <v>504</v>
      </c>
      <c r="F24" t="s">
        <v>20</v>
      </c>
    </row>
    <row r="25" spans="1:10">
      <c r="A25" t="s">
        <v>505</v>
      </c>
      <c r="F25" t="s">
        <v>20</v>
      </c>
    </row>
    <row r="26" spans="1:10">
      <c r="A26" t="s">
        <v>506</v>
      </c>
      <c r="F26" t="s">
        <v>20</v>
      </c>
    </row>
    <row r="27" spans="1:10">
      <c r="A27" t="s">
        <v>507</v>
      </c>
      <c r="F27" t="s">
        <v>20</v>
      </c>
    </row>
    <row r="28" spans="1:10">
      <c r="A28" t="s">
        <v>508</v>
      </c>
      <c r="F28" t="s">
        <v>20</v>
      </c>
    </row>
    <row r="29" spans="1:10">
      <c r="A29" t="s">
        <v>509</v>
      </c>
      <c r="F29" t="s">
        <v>20</v>
      </c>
    </row>
    <row r="31" spans="1:10">
      <c r="A31" s="6" t="s">
        <v>510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s="1" t="s">
        <v>10</v>
      </c>
      <c r="B32" s="1" t="s">
        <v>80</v>
      </c>
      <c r="C32" s="1" t="s">
        <v>3</v>
      </c>
      <c r="D32" s="1" t="s">
        <v>459</v>
      </c>
      <c r="E32" s="1" t="s">
        <v>511</v>
      </c>
      <c r="F32" s="1" t="s">
        <v>461</v>
      </c>
      <c r="G32" s="1" t="s">
        <v>440</v>
      </c>
    </row>
    <row r="33" spans="1:13">
      <c r="A33" t="s">
        <v>23</v>
      </c>
      <c r="B33" t="s">
        <v>32</v>
      </c>
      <c r="C33" t="s">
        <v>16</v>
      </c>
      <c r="G33" t="s">
        <v>20</v>
      </c>
    </row>
    <row r="34" spans="1:13">
      <c r="A34" t="s">
        <v>35</v>
      </c>
      <c r="B34" t="s">
        <v>32</v>
      </c>
      <c r="C34" t="s">
        <v>16</v>
      </c>
      <c r="G34" t="s">
        <v>20</v>
      </c>
    </row>
    <row r="35" spans="1:13">
      <c r="A35" t="s">
        <v>46</v>
      </c>
      <c r="B35" t="s">
        <v>32</v>
      </c>
      <c r="C35" t="s">
        <v>16</v>
      </c>
      <c r="G35" t="s">
        <v>20</v>
      </c>
    </row>
    <row r="36" spans="1:13">
      <c r="A36" t="s">
        <v>56</v>
      </c>
      <c r="B36" t="s">
        <v>32</v>
      </c>
      <c r="C36" t="s">
        <v>16</v>
      </c>
      <c r="G36" t="s">
        <v>20</v>
      </c>
    </row>
    <row r="37" spans="1:13">
      <c r="A37" t="s">
        <v>36</v>
      </c>
      <c r="B37" t="s">
        <v>32</v>
      </c>
      <c r="C37" t="s">
        <v>16</v>
      </c>
      <c r="G37" t="s">
        <v>20</v>
      </c>
    </row>
    <row r="38" spans="1:13">
      <c r="A38" t="s">
        <v>71</v>
      </c>
      <c r="B38" t="s">
        <v>32</v>
      </c>
      <c r="C38" t="s">
        <v>16</v>
      </c>
      <c r="G38" t="s">
        <v>20</v>
      </c>
    </row>
    <row r="40" spans="1:13">
      <c r="A40" s="6" t="s">
        <v>512</v>
      </c>
      <c r="B40" s="6"/>
      <c r="C40" s="6"/>
      <c r="D40" s="6"/>
      <c r="E40" s="6"/>
      <c r="F40" s="6"/>
      <c r="G40" s="6"/>
      <c r="H40" s="6"/>
      <c r="I40" s="6"/>
      <c r="J40" s="6"/>
    </row>
    <row r="41" spans="1:13">
      <c r="A41" s="1" t="s">
        <v>513</v>
      </c>
      <c r="B41" s="1" t="s">
        <v>514</v>
      </c>
      <c r="C41" s="1" t="s">
        <v>515</v>
      </c>
      <c r="D41" s="1" t="s">
        <v>3</v>
      </c>
      <c r="E41" s="1" t="s">
        <v>459</v>
      </c>
      <c r="F41" s="1" t="s">
        <v>126</v>
      </c>
      <c r="G41" s="1" t="s">
        <v>461</v>
      </c>
      <c r="H41" s="1" t="s">
        <v>440</v>
      </c>
    </row>
    <row r="42" spans="1:13">
      <c r="A42" t="s">
        <v>516</v>
      </c>
      <c r="B42">
        <v>0</v>
      </c>
      <c r="C42">
        <v>0</v>
      </c>
      <c r="D42" t="s">
        <v>16</v>
      </c>
      <c r="H42" t="s">
        <v>20</v>
      </c>
    </row>
    <row r="43" spans="1:13">
      <c r="A43" t="s">
        <v>517</v>
      </c>
      <c r="B43">
        <v>0</v>
      </c>
      <c r="C43">
        <v>0</v>
      </c>
      <c r="D43" t="s">
        <v>16</v>
      </c>
      <c r="H43" t="s">
        <v>20</v>
      </c>
    </row>
    <row r="44" spans="1:13">
      <c r="A44" t="s">
        <v>518</v>
      </c>
      <c r="B44">
        <v>0</v>
      </c>
      <c r="C44">
        <v>0</v>
      </c>
      <c r="D44" t="s">
        <v>16</v>
      </c>
      <c r="H44" t="s">
        <v>20</v>
      </c>
    </row>
    <row r="45" spans="1:13">
      <c r="A45" t="s">
        <v>519</v>
      </c>
      <c r="B45">
        <v>0</v>
      </c>
      <c r="C45">
        <v>0</v>
      </c>
      <c r="D45" t="s">
        <v>16</v>
      </c>
      <c r="H45" t="s">
        <v>20</v>
      </c>
    </row>
    <row r="47" spans="1:13">
      <c r="A47" s="6" t="s">
        <v>520</v>
      </c>
      <c r="B47" s="6"/>
      <c r="C47" s="6"/>
      <c r="D47" s="6"/>
      <c r="E47" s="6"/>
      <c r="F47" s="6"/>
      <c r="G47" s="6"/>
      <c r="H47" s="6"/>
      <c r="I47" s="6"/>
      <c r="J47" s="6"/>
    </row>
    <row r="48" spans="1:13">
      <c r="A48" s="7" t="s">
        <v>521</v>
      </c>
      <c r="B48" s="7" t="s">
        <v>190</v>
      </c>
      <c r="C48" s="7" t="s">
        <v>192</v>
      </c>
      <c r="D48" s="7" t="s">
        <v>121</v>
      </c>
      <c r="E48" s="7" t="s">
        <v>522</v>
      </c>
      <c r="F48" s="7" t="s">
        <v>523</v>
      </c>
      <c r="G48" s="7" t="s">
        <v>195</v>
      </c>
      <c r="H48" s="7" t="s">
        <v>196</v>
      </c>
      <c r="I48" s="7" t="s">
        <v>3</v>
      </c>
      <c r="J48" s="7" t="s">
        <v>459</v>
      </c>
      <c r="K48" s="11" t="s">
        <v>511</v>
      </c>
      <c r="L48" s="11" t="s">
        <v>461</v>
      </c>
      <c r="M48" s="11" t="s">
        <v>440</v>
      </c>
    </row>
    <row r="49" spans="1:13">
      <c r="A49" s="4">
        <v>1</v>
      </c>
      <c r="B49" s="4" t="s">
        <v>200</v>
      </c>
      <c r="C49" s="4" t="s">
        <v>25</v>
      </c>
      <c r="D49" s="4" t="s">
        <v>201</v>
      </c>
      <c r="E49" s="4" t="s">
        <v>202</v>
      </c>
      <c r="F49" s="4" t="s">
        <v>178</v>
      </c>
      <c r="G49" s="4"/>
      <c r="H49" s="4" t="s">
        <v>203</v>
      </c>
      <c r="I49" s="4" t="s">
        <v>16</v>
      </c>
      <c r="J49" s="4"/>
      <c r="K49" s="4"/>
      <c r="L49" s="4"/>
      <c r="M49" s="4" t="s">
        <v>20</v>
      </c>
    </row>
    <row r="50" spans="1:13">
      <c r="A50" s="4">
        <v>2</v>
      </c>
      <c r="B50" s="4" t="s">
        <v>203</v>
      </c>
      <c r="C50" s="4" t="s">
        <v>25</v>
      </c>
      <c r="D50" s="4" t="s">
        <v>204</v>
      </c>
      <c r="E50" s="4" t="s">
        <v>205</v>
      </c>
      <c r="F50" s="4" t="s">
        <v>206</v>
      </c>
      <c r="G50" s="4" t="s">
        <v>200</v>
      </c>
      <c r="H50" s="4" t="s">
        <v>207</v>
      </c>
      <c r="I50" s="4" t="s">
        <v>16</v>
      </c>
      <c r="J50" s="4"/>
      <c r="K50" s="4"/>
      <c r="L50" s="4"/>
      <c r="M50" s="4" t="s">
        <v>20</v>
      </c>
    </row>
    <row r="51" spans="1:13">
      <c r="A51" s="4">
        <v>3</v>
      </c>
      <c r="B51" s="4" t="s">
        <v>207</v>
      </c>
      <c r="C51" s="4" t="s">
        <v>25</v>
      </c>
      <c r="D51" s="4" t="s">
        <v>208</v>
      </c>
      <c r="E51" s="4" t="s">
        <v>209</v>
      </c>
      <c r="F51" s="4" t="s">
        <v>206</v>
      </c>
      <c r="G51" s="4" t="s">
        <v>203</v>
      </c>
      <c r="H51" s="4" t="s">
        <v>210</v>
      </c>
      <c r="I51" s="4" t="s">
        <v>16</v>
      </c>
      <c r="J51" s="4"/>
      <c r="K51" s="4"/>
      <c r="L51" s="4"/>
      <c r="M51" s="4" t="s">
        <v>20</v>
      </c>
    </row>
    <row r="52" spans="1:13">
      <c r="A52" s="4">
        <v>4</v>
      </c>
      <c r="B52" s="4" t="s">
        <v>210</v>
      </c>
      <c r="C52" s="4" t="s">
        <v>25</v>
      </c>
      <c r="D52" s="4" t="s">
        <v>211</v>
      </c>
      <c r="E52" s="4" t="s">
        <v>212</v>
      </c>
      <c r="F52" s="4" t="s">
        <v>178</v>
      </c>
      <c r="G52" s="4" t="s">
        <v>207</v>
      </c>
      <c r="H52" s="4" t="s">
        <v>213</v>
      </c>
      <c r="I52" s="4" t="s">
        <v>16</v>
      </c>
      <c r="J52" s="4"/>
      <c r="K52" s="4"/>
      <c r="L52" s="4"/>
      <c r="M52" s="4" t="s">
        <v>20</v>
      </c>
    </row>
    <row r="53" spans="1:13" ht="28">
      <c r="A53" s="4">
        <v>5</v>
      </c>
      <c r="B53" s="4" t="s">
        <v>214</v>
      </c>
      <c r="C53" s="4" t="s">
        <v>25</v>
      </c>
      <c r="D53" s="4" t="s">
        <v>215</v>
      </c>
      <c r="E53" s="4" t="s">
        <v>216</v>
      </c>
      <c r="F53" s="4" t="s">
        <v>217</v>
      </c>
      <c r="G53" s="4" t="s">
        <v>210</v>
      </c>
      <c r="H53" s="4" t="s">
        <v>218</v>
      </c>
      <c r="I53" s="4" t="s">
        <v>16</v>
      </c>
      <c r="J53" s="4"/>
      <c r="K53" s="4"/>
      <c r="L53" s="4"/>
      <c r="M53" s="4" t="s">
        <v>20</v>
      </c>
    </row>
    <row r="54" spans="1:13">
      <c r="A54" s="4">
        <v>6</v>
      </c>
      <c r="B54" s="4" t="s">
        <v>219</v>
      </c>
      <c r="C54" s="4" t="s">
        <v>25</v>
      </c>
      <c r="D54" s="4" t="s">
        <v>220</v>
      </c>
      <c r="E54" s="4" t="s">
        <v>221</v>
      </c>
      <c r="F54" s="4" t="s">
        <v>217</v>
      </c>
      <c r="G54" s="4" t="s">
        <v>207</v>
      </c>
      <c r="H54" s="4" t="s">
        <v>222</v>
      </c>
      <c r="I54" s="4" t="s">
        <v>16</v>
      </c>
      <c r="J54" s="4"/>
      <c r="K54" s="4"/>
      <c r="L54" s="4"/>
      <c r="M54" s="4" t="s">
        <v>20</v>
      </c>
    </row>
    <row r="55" spans="1:13" ht="28">
      <c r="A55" s="4">
        <v>7</v>
      </c>
      <c r="B55" s="4" t="s">
        <v>223</v>
      </c>
      <c r="C55" s="4" t="s">
        <v>25</v>
      </c>
      <c r="D55" s="4" t="s">
        <v>224</v>
      </c>
      <c r="E55" s="4" t="s">
        <v>225</v>
      </c>
      <c r="F55" s="4" t="s">
        <v>226</v>
      </c>
      <c r="G55" s="4" t="s">
        <v>210</v>
      </c>
      <c r="H55" s="4" t="s">
        <v>227</v>
      </c>
      <c r="I55" s="4" t="s">
        <v>16</v>
      </c>
      <c r="J55" s="4"/>
      <c r="K55" s="4"/>
      <c r="L55" s="4"/>
      <c r="M55" s="4" t="s">
        <v>20</v>
      </c>
    </row>
    <row r="56" spans="1:13">
      <c r="A56" s="4">
        <v>8</v>
      </c>
      <c r="B56" s="4" t="s">
        <v>228</v>
      </c>
      <c r="C56" s="4" t="s">
        <v>25</v>
      </c>
      <c r="D56" s="4" t="s">
        <v>229</v>
      </c>
      <c r="E56" s="4" t="s">
        <v>230</v>
      </c>
      <c r="F56" s="4" t="s">
        <v>231</v>
      </c>
      <c r="G56" s="4" t="s">
        <v>214</v>
      </c>
      <c r="H56" s="4" t="s">
        <v>232</v>
      </c>
      <c r="I56" s="4" t="s">
        <v>16</v>
      </c>
      <c r="J56" s="4"/>
      <c r="K56" s="4"/>
      <c r="L56" s="4"/>
      <c r="M56" s="4" t="s">
        <v>20</v>
      </c>
    </row>
    <row r="57" spans="1:13">
      <c r="A57" s="4">
        <v>9</v>
      </c>
      <c r="B57" s="4" t="s">
        <v>233</v>
      </c>
      <c r="C57" s="4" t="s">
        <v>25</v>
      </c>
      <c r="D57" s="4" t="s">
        <v>234</v>
      </c>
      <c r="E57" s="4" t="s">
        <v>235</v>
      </c>
      <c r="F57" s="4" t="s">
        <v>206</v>
      </c>
      <c r="G57" s="4" t="s">
        <v>214</v>
      </c>
      <c r="H57" s="4" t="s">
        <v>232</v>
      </c>
      <c r="I57" s="4" t="s">
        <v>16</v>
      </c>
      <c r="J57" s="4"/>
      <c r="K57" s="4"/>
      <c r="L57" s="4"/>
      <c r="M57" s="4" t="s">
        <v>20</v>
      </c>
    </row>
    <row r="58" spans="1:13" ht="28">
      <c r="A58" s="4">
        <v>10</v>
      </c>
      <c r="B58" s="4" t="s">
        <v>236</v>
      </c>
      <c r="C58" s="4" t="s">
        <v>37</v>
      </c>
      <c r="D58" s="4" t="s">
        <v>237</v>
      </c>
      <c r="E58" s="4" t="s">
        <v>238</v>
      </c>
      <c r="F58" s="4" t="s">
        <v>239</v>
      </c>
      <c r="G58" s="4" t="s">
        <v>219</v>
      </c>
      <c r="H58" s="4" t="s">
        <v>240</v>
      </c>
      <c r="I58" s="4" t="s">
        <v>16</v>
      </c>
      <c r="J58" s="4"/>
      <c r="K58" s="4"/>
      <c r="L58" s="4"/>
      <c r="M58" s="4" t="s">
        <v>20</v>
      </c>
    </row>
    <row r="59" spans="1:13" ht="28">
      <c r="A59" s="4">
        <v>11</v>
      </c>
      <c r="B59" s="4" t="s">
        <v>241</v>
      </c>
      <c r="C59" s="4" t="s">
        <v>37</v>
      </c>
      <c r="D59" s="4" t="s">
        <v>242</v>
      </c>
      <c r="E59" s="4" t="s">
        <v>243</v>
      </c>
      <c r="F59" s="4" t="s">
        <v>239</v>
      </c>
      <c r="G59" s="4" t="s">
        <v>219</v>
      </c>
      <c r="H59" s="4" t="s">
        <v>244</v>
      </c>
      <c r="I59" s="4" t="s">
        <v>16</v>
      </c>
      <c r="J59" s="4"/>
      <c r="K59" s="4"/>
      <c r="L59" s="4"/>
      <c r="M59" s="4" t="s">
        <v>20</v>
      </c>
    </row>
    <row r="60" spans="1:13" ht="28">
      <c r="A60" s="4">
        <v>12</v>
      </c>
      <c r="B60" s="4" t="s">
        <v>245</v>
      </c>
      <c r="C60" s="4" t="s">
        <v>37</v>
      </c>
      <c r="D60" s="4" t="s">
        <v>246</v>
      </c>
      <c r="E60" s="4" t="s">
        <v>247</v>
      </c>
      <c r="F60" s="4" t="s">
        <v>248</v>
      </c>
      <c r="G60" s="4" t="s">
        <v>241</v>
      </c>
      <c r="H60" s="4" t="s">
        <v>249</v>
      </c>
      <c r="I60" s="4" t="s">
        <v>16</v>
      </c>
      <c r="J60" s="4"/>
      <c r="K60" s="4"/>
      <c r="L60" s="4"/>
      <c r="M60" s="4" t="s">
        <v>20</v>
      </c>
    </row>
    <row r="61" spans="1:13" ht="28">
      <c r="A61" s="4">
        <v>13</v>
      </c>
      <c r="B61" s="4" t="s">
        <v>250</v>
      </c>
      <c r="C61" s="4" t="s">
        <v>37</v>
      </c>
      <c r="D61" s="4" t="s">
        <v>251</v>
      </c>
      <c r="E61" s="4" t="s">
        <v>252</v>
      </c>
      <c r="F61" s="4" t="s">
        <v>248</v>
      </c>
      <c r="G61" s="4" t="s">
        <v>245</v>
      </c>
      <c r="H61" s="4" t="s">
        <v>253</v>
      </c>
      <c r="I61" s="4" t="s">
        <v>16</v>
      </c>
      <c r="J61" s="4"/>
      <c r="K61" s="4"/>
      <c r="L61" s="4"/>
      <c r="M61" s="4" t="s">
        <v>20</v>
      </c>
    </row>
    <row r="62" spans="1:13" ht="28">
      <c r="A62" s="4">
        <v>14</v>
      </c>
      <c r="B62" s="4" t="s">
        <v>254</v>
      </c>
      <c r="C62" s="4" t="s">
        <v>37</v>
      </c>
      <c r="D62" s="4" t="s">
        <v>255</v>
      </c>
      <c r="E62" s="4" t="s">
        <v>256</v>
      </c>
      <c r="F62" s="4" t="s">
        <v>257</v>
      </c>
      <c r="G62" s="4" t="s">
        <v>250</v>
      </c>
      <c r="H62" s="4" t="s">
        <v>258</v>
      </c>
      <c r="I62" s="4" t="s">
        <v>16</v>
      </c>
      <c r="J62" s="4"/>
      <c r="K62" s="4"/>
      <c r="L62" s="4"/>
      <c r="M62" s="4" t="s">
        <v>20</v>
      </c>
    </row>
    <row r="63" spans="1:13" ht="28">
      <c r="A63" s="4">
        <v>15</v>
      </c>
      <c r="B63" s="4" t="s">
        <v>240</v>
      </c>
      <c r="C63" s="4" t="s">
        <v>48</v>
      </c>
      <c r="D63" s="4" t="s">
        <v>259</v>
      </c>
      <c r="E63" s="4" t="s">
        <v>260</v>
      </c>
      <c r="F63" s="4" t="s">
        <v>226</v>
      </c>
      <c r="G63" s="4" t="s">
        <v>261</v>
      </c>
      <c r="H63" s="4" t="s">
        <v>262</v>
      </c>
      <c r="I63" s="4" t="s">
        <v>16</v>
      </c>
      <c r="J63" s="4"/>
      <c r="K63" s="4"/>
      <c r="L63" s="4"/>
      <c r="M63" s="4" t="s">
        <v>20</v>
      </c>
    </row>
    <row r="64" spans="1:13" ht="28">
      <c r="A64" s="4">
        <v>16</v>
      </c>
      <c r="B64" s="4" t="s">
        <v>262</v>
      </c>
      <c r="C64" s="4" t="s">
        <v>48</v>
      </c>
      <c r="D64" s="4" t="s">
        <v>263</v>
      </c>
      <c r="E64" s="4" t="s">
        <v>264</v>
      </c>
      <c r="F64" s="4" t="s">
        <v>239</v>
      </c>
      <c r="G64" s="4" t="s">
        <v>240</v>
      </c>
      <c r="H64" s="4" t="s">
        <v>265</v>
      </c>
      <c r="I64" s="4" t="s">
        <v>16</v>
      </c>
      <c r="J64" s="4"/>
      <c r="K64" s="4"/>
      <c r="L64" s="4"/>
      <c r="M64" s="4" t="s">
        <v>20</v>
      </c>
    </row>
    <row r="65" spans="1:13">
      <c r="A65" s="4">
        <v>17</v>
      </c>
      <c r="B65" s="4" t="s">
        <v>266</v>
      </c>
      <c r="C65" s="4" t="s">
        <v>48</v>
      </c>
      <c r="D65" s="4" t="s">
        <v>267</v>
      </c>
      <c r="E65" s="4" t="s">
        <v>268</v>
      </c>
      <c r="F65" s="4" t="s">
        <v>239</v>
      </c>
      <c r="G65" s="4" t="s">
        <v>269</v>
      </c>
      <c r="H65" s="4" t="s">
        <v>270</v>
      </c>
      <c r="I65" s="4" t="s">
        <v>16</v>
      </c>
      <c r="J65" s="4"/>
      <c r="K65" s="4"/>
      <c r="L65" s="4"/>
      <c r="M65" s="4" t="s">
        <v>20</v>
      </c>
    </row>
    <row r="66" spans="1:13">
      <c r="A66" s="4">
        <v>18</v>
      </c>
      <c r="B66" s="4" t="s">
        <v>271</v>
      </c>
      <c r="C66" s="4" t="s">
        <v>48</v>
      </c>
      <c r="D66" s="4" t="s">
        <v>272</v>
      </c>
      <c r="E66" s="4" t="s">
        <v>273</v>
      </c>
      <c r="F66" s="4" t="s">
        <v>274</v>
      </c>
      <c r="G66" s="4" t="s">
        <v>275</v>
      </c>
      <c r="H66" s="4" t="s">
        <v>276</v>
      </c>
      <c r="I66" s="4" t="s">
        <v>16</v>
      </c>
      <c r="J66" s="4"/>
      <c r="K66" s="4"/>
      <c r="L66" s="4"/>
      <c r="M66" s="4" t="s">
        <v>20</v>
      </c>
    </row>
    <row r="67" spans="1:13">
      <c r="A67" s="4">
        <v>19</v>
      </c>
      <c r="B67" s="4" t="s">
        <v>277</v>
      </c>
      <c r="C67" s="4" t="s">
        <v>48</v>
      </c>
      <c r="D67" s="4" t="s">
        <v>278</v>
      </c>
      <c r="E67" s="4" t="s">
        <v>279</v>
      </c>
      <c r="F67" s="4" t="s">
        <v>274</v>
      </c>
      <c r="G67" s="4" t="s">
        <v>271</v>
      </c>
      <c r="H67" s="4" t="s">
        <v>280</v>
      </c>
      <c r="I67" s="4" t="s">
        <v>16</v>
      </c>
      <c r="J67" s="4"/>
      <c r="K67" s="4"/>
      <c r="L67" s="4"/>
      <c r="M67" s="4" t="s">
        <v>20</v>
      </c>
    </row>
    <row r="68" spans="1:13">
      <c r="A68" s="4">
        <v>20</v>
      </c>
      <c r="B68" s="4" t="s">
        <v>280</v>
      </c>
      <c r="C68" s="4" t="s">
        <v>48</v>
      </c>
      <c r="D68" s="4" t="s">
        <v>281</v>
      </c>
      <c r="E68" s="4" t="s">
        <v>282</v>
      </c>
      <c r="F68" s="4" t="s">
        <v>283</v>
      </c>
      <c r="G68" s="4" t="s">
        <v>277</v>
      </c>
      <c r="H68" s="4" t="s">
        <v>284</v>
      </c>
      <c r="I68" s="4" t="s">
        <v>16</v>
      </c>
      <c r="J68" s="4"/>
      <c r="K68" s="4"/>
      <c r="L68" s="4"/>
      <c r="M68" s="4" t="s">
        <v>20</v>
      </c>
    </row>
    <row r="69" spans="1:13">
      <c r="A69" s="4">
        <v>21</v>
      </c>
      <c r="B69" s="4" t="s">
        <v>285</v>
      </c>
      <c r="C69" s="4" t="s">
        <v>48</v>
      </c>
      <c r="D69" s="4" t="s">
        <v>286</v>
      </c>
      <c r="E69" s="4" t="s">
        <v>287</v>
      </c>
      <c r="F69" s="4" t="s">
        <v>206</v>
      </c>
      <c r="G69" s="4" t="s">
        <v>265</v>
      </c>
      <c r="H69" s="4" t="s">
        <v>288</v>
      </c>
      <c r="I69" s="4" t="s">
        <v>16</v>
      </c>
      <c r="J69" s="4"/>
      <c r="K69" s="4"/>
      <c r="L69" s="4"/>
      <c r="M69" s="4" t="s">
        <v>20</v>
      </c>
    </row>
    <row r="70" spans="1:13">
      <c r="A70" s="4">
        <v>22</v>
      </c>
      <c r="B70" s="4" t="s">
        <v>288</v>
      </c>
      <c r="C70" s="4" t="s">
        <v>48</v>
      </c>
      <c r="D70" s="4" t="s">
        <v>289</v>
      </c>
      <c r="E70" s="4" t="s">
        <v>290</v>
      </c>
      <c r="F70" s="4" t="s">
        <v>239</v>
      </c>
      <c r="G70" s="4" t="s">
        <v>285</v>
      </c>
      <c r="H70" s="4" t="s">
        <v>291</v>
      </c>
      <c r="I70" s="4" t="s">
        <v>16</v>
      </c>
      <c r="J70" s="4"/>
      <c r="K70" s="4"/>
      <c r="L70" s="4"/>
      <c r="M70" s="4" t="s">
        <v>20</v>
      </c>
    </row>
    <row r="71" spans="1:13" ht="28">
      <c r="A71" s="4">
        <v>23</v>
      </c>
      <c r="B71" s="4" t="s">
        <v>291</v>
      </c>
      <c r="C71" s="4" t="s">
        <v>48</v>
      </c>
      <c r="D71" s="4" t="s">
        <v>292</v>
      </c>
      <c r="E71" s="4" t="s">
        <v>293</v>
      </c>
      <c r="F71" s="4" t="s">
        <v>206</v>
      </c>
      <c r="G71" s="4" t="s">
        <v>288</v>
      </c>
      <c r="H71" s="4" t="s">
        <v>294</v>
      </c>
      <c r="I71" s="4" t="s">
        <v>16</v>
      </c>
      <c r="J71" s="4"/>
      <c r="K71" s="4"/>
      <c r="L71" s="4"/>
      <c r="M71" s="4" t="s">
        <v>20</v>
      </c>
    </row>
    <row r="72" spans="1:13" ht="28">
      <c r="A72" s="4">
        <v>24</v>
      </c>
      <c r="B72" s="4" t="s">
        <v>294</v>
      </c>
      <c r="C72" s="4" t="s">
        <v>48</v>
      </c>
      <c r="D72" s="4" t="s">
        <v>295</v>
      </c>
      <c r="E72" s="4" t="s">
        <v>296</v>
      </c>
      <c r="F72" s="4" t="s">
        <v>297</v>
      </c>
      <c r="G72" s="4" t="s">
        <v>298</v>
      </c>
      <c r="H72" s="4" t="s">
        <v>299</v>
      </c>
      <c r="I72" s="4" t="s">
        <v>16</v>
      </c>
      <c r="J72" s="4"/>
      <c r="K72" s="4"/>
      <c r="L72" s="4"/>
      <c r="M72" s="4" t="s">
        <v>20</v>
      </c>
    </row>
    <row r="73" spans="1:13">
      <c r="A73" s="4">
        <v>25</v>
      </c>
      <c r="B73" s="4" t="s">
        <v>299</v>
      </c>
      <c r="C73" s="4" t="s">
        <v>48</v>
      </c>
      <c r="D73" s="4" t="s">
        <v>300</v>
      </c>
      <c r="E73" s="4" t="s">
        <v>301</v>
      </c>
      <c r="F73" s="4" t="s">
        <v>302</v>
      </c>
      <c r="G73" s="4" t="s">
        <v>294</v>
      </c>
      <c r="H73" s="4" t="s">
        <v>303</v>
      </c>
      <c r="I73" s="4" t="s">
        <v>16</v>
      </c>
      <c r="J73" s="4"/>
      <c r="K73" s="4"/>
      <c r="L73" s="4"/>
      <c r="M73" s="4" t="s">
        <v>20</v>
      </c>
    </row>
    <row r="74" spans="1:13">
      <c r="A74" s="4">
        <v>26</v>
      </c>
      <c r="B74" s="4" t="s">
        <v>304</v>
      </c>
      <c r="C74" s="4" t="s">
        <v>58</v>
      </c>
      <c r="D74" s="4" t="s">
        <v>305</v>
      </c>
      <c r="E74" s="4" t="s">
        <v>306</v>
      </c>
      <c r="F74" s="4" t="s">
        <v>239</v>
      </c>
      <c r="G74" s="4" t="s">
        <v>299</v>
      </c>
      <c r="H74" s="4" t="s">
        <v>307</v>
      </c>
      <c r="I74" s="4" t="s">
        <v>16</v>
      </c>
      <c r="J74" s="4"/>
      <c r="K74" s="4"/>
      <c r="L74" s="4"/>
      <c r="M74" s="4" t="s">
        <v>20</v>
      </c>
    </row>
    <row r="75" spans="1:13">
      <c r="A75" s="4">
        <v>27</v>
      </c>
      <c r="B75" s="4" t="s">
        <v>308</v>
      </c>
      <c r="C75" s="4" t="s">
        <v>58</v>
      </c>
      <c r="D75" s="4" t="s">
        <v>309</v>
      </c>
      <c r="E75" s="4" t="s">
        <v>310</v>
      </c>
      <c r="F75" s="4" t="s">
        <v>311</v>
      </c>
      <c r="G75" s="4" t="s">
        <v>304</v>
      </c>
      <c r="H75" s="4" t="s">
        <v>312</v>
      </c>
      <c r="I75" s="4" t="s">
        <v>16</v>
      </c>
      <c r="J75" s="4"/>
      <c r="K75" s="4"/>
      <c r="L75" s="4"/>
      <c r="M75" s="4" t="s">
        <v>20</v>
      </c>
    </row>
    <row r="76" spans="1:13" ht="28">
      <c r="A76" s="4">
        <v>28</v>
      </c>
      <c r="B76" s="4" t="s">
        <v>313</v>
      </c>
      <c r="C76" s="4" t="s">
        <v>58</v>
      </c>
      <c r="D76" s="4" t="s">
        <v>314</v>
      </c>
      <c r="E76" s="4" t="s">
        <v>315</v>
      </c>
      <c r="F76" s="4" t="s">
        <v>206</v>
      </c>
      <c r="G76" s="4" t="s">
        <v>299</v>
      </c>
      <c r="H76" s="4" t="s">
        <v>312</v>
      </c>
      <c r="I76" s="4" t="s">
        <v>16</v>
      </c>
      <c r="J76" s="4"/>
      <c r="K76" s="4"/>
      <c r="L76" s="4"/>
      <c r="M76" s="4" t="s">
        <v>20</v>
      </c>
    </row>
    <row r="77" spans="1:13">
      <c r="A77" s="4">
        <v>29</v>
      </c>
      <c r="B77" s="4" t="s">
        <v>312</v>
      </c>
      <c r="C77" s="4" t="s">
        <v>58</v>
      </c>
      <c r="D77" s="4" t="s">
        <v>316</v>
      </c>
      <c r="E77" s="4" t="s">
        <v>317</v>
      </c>
      <c r="F77" s="4" t="s">
        <v>248</v>
      </c>
      <c r="G77" s="4" t="s">
        <v>318</v>
      </c>
      <c r="H77" s="4" t="s">
        <v>319</v>
      </c>
      <c r="I77" s="4" t="s">
        <v>16</v>
      </c>
      <c r="J77" s="4"/>
      <c r="K77" s="4"/>
      <c r="L77" s="4"/>
      <c r="M77" s="4" t="s">
        <v>20</v>
      </c>
    </row>
    <row r="78" spans="1:13" ht="28">
      <c r="A78" s="4">
        <v>30</v>
      </c>
      <c r="B78" s="4" t="s">
        <v>319</v>
      </c>
      <c r="C78" s="4" t="s">
        <v>58</v>
      </c>
      <c r="D78" s="4" t="s">
        <v>259</v>
      </c>
      <c r="E78" s="4" t="s">
        <v>320</v>
      </c>
      <c r="F78" s="4" t="s">
        <v>226</v>
      </c>
      <c r="G78" s="4" t="s">
        <v>321</v>
      </c>
      <c r="H78" s="4" t="s">
        <v>322</v>
      </c>
      <c r="I78" s="4" t="s">
        <v>16</v>
      </c>
      <c r="J78" s="4"/>
      <c r="K78" s="4"/>
      <c r="L78" s="4"/>
      <c r="M78" s="4" t="s">
        <v>20</v>
      </c>
    </row>
    <row r="79" spans="1:13" ht="28">
      <c r="A79" s="4">
        <v>31</v>
      </c>
      <c r="B79" s="4" t="s">
        <v>322</v>
      </c>
      <c r="C79" s="4" t="s">
        <v>58</v>
      </c>
      <c r="D79" s="4" t="s">
        <v>263</v>
      </c>
      <c r="E79" s="4" t="s">
        <v>323</v>
      </c>
      <c r="F79" s="4" t="s">
        <v>239</v>
      </c>
      <c r="G79" s="4" t="s">
        <v>319</v>
      </c>
      <c r="H79" s="4" t="s">
        <v>324</v>
      </c>
      <c r="I79" s="4" t="s">
        <v>16</v>
      </c>
      <c r="J79" s="4"/>
      <c r="K79" s="4"/>
      <c r="L79" s="4"/>
      <c r="M79" s="4" t="s">
        <v>20</v>
      </c>
    </row>
    <row r="80" spans="1:13">
      <c r="A80" s="4">
        <v>32</v>
      </c>
      <c r="B80" s="4" t="s">
        <v>325</v>
      </c>
      <c r="C80" s="4" t="s">
        <v>58</v>
      </c>
      <c r="D80" s="4" t="s">
        <v>326</v>
      </c>
      <c r="E80" s="4" t="s">
        <v>327</v>
      </c>
      <c r="F80" s="4" t="s">
        <v>239</v>
      </c>
      <c r="G80" s="4" t="s">
        <v>328</v>
      </c>
      <c r="H80" s="4" t="s">
        <v>329</v>
      </c>
      <c r="I80" s="4" t="s">
        <v>16</v>
      </c>
      <c r="J80" s="4"/>
      <c r="K80" s="4"/>
      <c r="L80" s="4"/>
      <c r="M80" s="4" t="s">
        <v>20</v>
      </c>
    </row>
    <row r="81" spans="1:13">
      <c r="A81" s="4">
        <v>33</v>
      </c>
      <c r="B81" s="4" t="s">
        <v>330</v>
      </c>
      <c r="C81" s="4" t="s">
        <v>58</v>
      </c>
      <c r="D81" s="4" t="s">
        <v>331</v>
      </c>
      <c r="E81" s="4" t="s">
        <v>332</v>
      </c>
      <c r="F81" s="4" t="s">
        <v>274</v>
      </c>
      <c r="G81" s="4" t="s">
        <v>333</v>
      </c>
      <c r="H81" s="4" t="s">
        <v>334</v>
      </c>
      <c r="I81" s="4" t="s">
        <v>16</v>
      </c>
      <c r="J81" s="4"/>
      <c r="K81" s="4"/>
      <c r="L81" s="4"/>
      <c r="M81" s="4" t="s">
        <v>20</v>
      </c>
    </row>
    <row r="82" spans="1:13">
      <c r="A82" s="4">
        <v>34</v>
      </c>
      <c r="B82" s="4" t="s">
        <v>335</v>
      </c>
      <c r="C82" s="4" t="s">
        <v>58</v>
      </c>
      <c r="D82" s="4" t="s">
        <v>278</v>
      </c>
      <c r="E82" s="4" t="s">
        <v>336</v>
      </c>
      <c r="F82" s="4" t="s">
        <v>274</v>
      </c>
      <c r="G82" s="4" t="s">
        <v>330</v>
      </c>
      <c r="H82" s="4" t="s">
        <v>337</v>
      </c>
      <c r="I82" s="4" t="s">
        <v>16</v>
      </c>
      <c r="J82" s="4"/>
      <c r="K82" s="4"/>
      <c r="L82" s="4"/>
      <c r="M82" s="4" t="s">
        <v>20</v>
      </c>
    </row>
    <row r="83" spans="1:13">
      <c r="A83" s="4">
        <v>35</v>
      </c>
      <c r="B83" s="4" t="s">
        <v>337</v>
      </c>
      <c r="C83" s="4" t="s">
        <v>58</v>
      </c>
      <c r="D83" s="4" t="s">
        <v>281</v>
      </c>
      <c r="E83" s="4" t="s">
        <v>338</v>
      </c>
      <c r="F83" s="4" t="s">
        <v>283</v>
      </c>
      <c r="G83" s="4" t="s">
        <v>335</v>
      </c>
      <c r="H83" s="4" t="s">
        <v>339</v>
      </c>
      <c r="I83" s="4" t="s">
        <v>16</v>
      </c>
      <c r="J83" s="4"/>
      <c r="K83" s="4"/>
      <c r="L83" s="4"/>
      <c r="M83" s="4" t="s">
        <v>20</v>
      </c>
    </row>
    <row r="84" spans="1:13">
      <c r="A84" s="4">
        <v>36</v>
      </c>
      <c r="B84" s="4" t="s">
        <v>340</v>
      </c>
      <c r="C84" s="4" t="s">
        <v>58</v>
      </c>
      <c r="D84" s="4" t="s">
        <v>286</v>
      </c>
      <c r="E84" s="4" t="s">
        <v>341</v>
      </c>
      <c r="F84" s="4" t="s">
        <v>206</v>
      </c>
      <c r="G84" s="4" t="s">
        <v>324</v>
      </c>
      <c r="H84" s="4" t="s">
        <v>342</v>
      </c>
      <c r="I84" s="4" t="s">
        <v>16</v>
      </c>
      <c r="J84" s="4"/>
      <c r="K84" s="4"/>
      <c r="L84" s="4"/>
      <c r="M84" s="4" t="s">
        <v>20</v>
      </c>
    </row>
    <row r="85" spans="1:13">
      <c r="A85" s="4">
        <v>37</v>
      </c>
      <c r="B85" s="4" t="s">
        <v>342</v>
      </c>
      <c r="C85" s="4" t="s">
        <v>58</v>
      </c>
      <c r="D85" s="4" t="s">
        <v>289</v>
      </c>
      <c r="E85" s="4" t="s">
        <v>343</v>
      </c>
      <c r="F85" s="4" t="s">
        <v>239</v>
      </c>
      <c r="G85" s="4" t="s">
        <v>340</v>
      </c>
      <c r="H85" s="4" t="s">
        <v>344</v>
      </c>
      <c r="I85" s="4" t="s">
        <v>16</v>
      </c>
      <c r="J85" s="4"/>
      <c r="K85" s="4"/>
      <c r="L85" s="4"/>
      <c r="M85" s="4" t="s">
        <v>20</v>
      </c>
    </row>
    <row r="86" spans="1:13" ht="28">
      <c r="A86" s="4">
        <v>38</v>
      </c>
      <c r="B86" s="4" t="s">
        <v>344</v>
      </c>
      <c r="C86" s="4" t="s">
        <v>58</v>
      </c>
      <c r="D86" s="4" t="s">
        <v>292</v>
      </c>
      <c r="E86" s="4" t="s">
        <v>345</v>
      </c>
      <c r="F86" s="4" t="s">
        <v>206</v>
      </c>
      <c r="G86" s="4" t="s">
        <v>342</v>
      </c>
      <c r="H86" s="4" t="s">
        <v>346</v>
      </c>
      <c r="I86" s="4" t="s">
        <v>16</v>
      </c>
      <c r="J86" s="4"/>
      <c r="K86" s="4"/>
      <c r="L86" s="4"/>
      <c r="M86" s="4" t="s">
        <v>20</v>
      </c>
    </row>
    <row r="87" spans="1:13" ht="28">
      <c r="A87" s="4">
        <v>39</v>
      </c>
      <c r="B87" s="4" t="s">
        <v>346</v>
      </c>
      <c r="C87" s="4" t="s">
        <v>58</v>
      </c>
      <c r="D87" s="4" t="s">
        <v>295</v>
      </c>
      <c r="E87" s="4" t="s">
        <v>347</v>
      </c>
      <c r="F87" s="4" t="s">
        <v>297</v>
      </c>
      <c r="G87" s="4" t="s">
        <v>348</v>
      </c>
      <c r="H87" s="4" t="s">
        <v>349</v>
      </c>
      <c r="I87" s="4" t="s">
        <v>16</v>
      </c>
      <c r="J87" s="4"/>
      <c r="K87" s="4"/>
      <c r="L87" s="4"/>
      <c r="M87" s="4" t="s">
        <v>20</v>
      </c>
    </row>
    <row r="88" spans="1:13">
      <c r="A88" s="4">
        <v>40</v>
      </c>
      <c r="B88" s="4" t="s">
        <v>349</v>
      </c>
      <c r="C88" s="4" t="s">
        <v>58</v>
      </c>
      <c r="D88" s="4" t="s">
        <v>350</v>
      </c>
      <c r="E88" s="4" t="s">
        <v>351</v>
      </c>
      <c r="F88" s="4" t="s">
        <v>302</v>
      </c>
      <c r="G88" s="4" t="s">
        <v>346</v>
      </c>
      <c r="H88" s="4" t="s">
        <v>352</v>
      </c>
      <c r="I88" s="4" t="s">
        <v>16</v>
      </c>
      <c r="J88" s="4"/>
      <c r="K88" s="4"/>
      <c r="L88" s="4"/>
      <c r="M88" s="4" t="s">
        <v>20</v>
      </c>
    </row>
    <row r="89" spans="1:13">
      <c r="A89" s="4">
        <v>41</v>
      </c>
      <c r="B89" s="4" t="s">
        <v>353</v>
      </c>
      <c r="C89" s="4" t="s">
        <v>65</v>
      </c>
      <c r="D89" s="4" t="s">
        <v>354</v>
      </c>
      <c r="E89" s="4" t="s">
        <v>355</v>
      </c>
      <c r="F89" s="4" t="s">
        <v>356</v>
      </c>
      <c r="G89" s="4" t="s">
        <v>357</v>
      </c>
      <c r="H89" s="4" t="s">
        <v>358</v>
      </c>
      <c r="I89" s="4" t="s">
        <v>16</v>
      </c>
      <c r="J89" s="4"/>
      <c r="K89" s="4"/>
      <c r="L89" s="4"/>
      <c r="M89" s="4" t="s">
        <v>20</v>
      </c>
    </row>
    <row r="90" spans="1:13" ht="28">
      <c r="A90" s="4">
        <v>42</v>
      </c>
      <c r="B90" s="4" t="s">
        <v>359</v>
      </c>
      <c r="C90" s="4" t="s">
        <v>65</v>
      </c>
      <c r="D90" s="4" t="s">
        <v>360</v>
      </c>
      <c r="E90" s="4" t="s">
        <v>361</v>
      </c>
      <c r="F90" s="4" t="s">
        <v>206</v>
      </c>
      <c r="G90" s="4" t="s">
        <v>349</v>
      </c>
      <c r="H90" s="4" t="s">
        <v>362</v>
      </c>
      <c r="I90" s="4" t="s">
        <v>16</v>
      </c>
      <c r="J90" s="4"/>
      <c r="K90" s="4"/>
      <c r="L90" s="4"/>
      <c r="M90" s="4" t="s">
        <v>20</v>
      </c>
    </row>
    <row r="91" spans="1:13">
      <c r="A91" s="4">
        <v>43</v>
      </c>
      <c r="B91" s="4" t="s">
        <v>362</v>
      </c>
      <c r="C91" s="4" t="s">
        <v>65</v>
      </c>
      <c r="D91" s="4" t="s">
        <v>363</v>
      </c>
      <c r="E91" s="4" t="s">
        <v>364</v>
      </c>
      <c r="F91" s="4" t="s">
        <v>248</v>
      </c>
      <c r="G91" s="4" t="s">
        <v>365</v>
      </c>
      <c r="H91" s="4" t="s">
        <v>366</v>
      </c>
      <c r="I91" s="4" t="s">
        <v>16</v>
      </c>
      <c r="J91" s="4"/>
      <c r="K91" s="4"/>
      <c r="L91" s="4"/>
      <c r="M91" s="4" t="s">
        <v>20</v>
      </c>
    </row>
    <row r="92" spans="1:13">
      <c r="A92" s="4">
        <v>44</v>
      </c>
      <c r="B92" s="4" t="s">
        <v>366</v>
      </c>
      <c r="C92" s="4" t="s">
        <v>65</v>
      </c>
      <c r="D92" s="4" t="s">
        <v>367</v>
      </c>
      <c r="E92" s="4" t="s">
        <v>256</v>
      </c>
      <c r="F92" s="4" t="s">
        <v>257</v>
      </c>
      <c r="G92" s="4" t="s">
        <v>368</v>
      </c>
      <c r="H92" s="4" t="s">
        <v>358</v>
      </c>
      <c r="I92" s="4" t="s">
        <v>16</v>
      </c>
      <c r="J92" s="4"/>
      <c r="K92" s="4"/>
      <c r="L92" s="4"/>
      <c r="M92" s="4" t="s">
        <v>20</v>
      </c>
    </row>
    <row r="93" spans="1:13" ht="28">
      <c r="A93" s="4">
        <v>45</v>
      </c>
      <c r="B93" s="4" t="s">
        <v>358</v>
      </c>
      <c r="C93" s="4" t="s">
        <v>65</v>
      </c>
      <c r="D93" s="4" t="s">
        <v>259</v>
      </c>
      <c r="E93" s="4" t="s">
        <v>369</v>
      </c>
      <c r="F93" s="4" t="s">
        <v>226</v>
      </c>
      <c r="G93" s="4" t="s">
        <v>370</v>
      </c>
      <c r="H93" s="4" t="s">
        <v>371</v>
      </c>
      <c r="I93" s="4" t="s">
        <v>16</v>
      </c>
      <c r="J93" s="4"/>
      <c r="K93" s="4"/>
      <c r="L93" s="4"/>
      <c r="M93" s="4" t="s">
        <v>20</v>
      </c>
    </row>
    <row r="94" spans="1:13" ht="28">
      <c r="A94" s="4">
        <v>46</v>
      </c>
      <c r="B94" s="4" t="s">
        <v>371</v>
      </c>
      <c r="C94" s="4" t="s">
        <v>65</v>
      </c>
      <c r="D94" s="4" t="s">
        <v>263</v>
      </c>
      <c r="E94" s="4" t="s">
        <v>372</v>
      </c>
      <c r="F94" s="4" t="s">
        <v>239</v>
      </c>
      <c r="G94" s="4" t="s">
        <v>358</v>
      </c>
      <c r="H94" s="4" t="s">
        <v>373</v>
      </c>
      <c r="I94" s="4" t="s">
        <v>16</v>
      </c>
      <c r="J94" s="4"/>
      <c r="K94" s="4"/>
      <c r="L94" s="4"/>
      <c r="M94" s="4" t="s">
        <v>20</v>
      </c>
    </row>
    <row r="95" spans="1:13">
      <c r="A95" s="4">
        <v>47</v>
      </c>
      <c r="B95" s="4" t="s">
        <v>374</v>
      </c>
      <c r="C95" s="4" t="s">
        <v>65</v>
      </c>
      <c r="D95" s="4" t="s">
        <v>375</v>
      </c>
      <c r="E95" s="4" t="s">
        <v>376</v>
      </c>
      <c r="F95" s="4" t="s">
        <v>239</v>
      </c>
      <c r="G95" s="4" t="s">
        <v>377</v>
      </c>
      <c r="H95" s="4" t="s">
        <v>378</v>
      </c>
      <c r="I95" s="4" t="s">
        <v>16</v>
      </c>
      <c r="J95" s="4"/>
      <c r="K95" s="4"/>
      <c r="L95" s="4"/>
      <c r="M95" s="4" t="s">
        <v>20</v>
      </c>
    </row>
    <row r="96" spans="1:13">
      <c r="A96" s="4">
        <v>48</v>
      </c>
      <c r="B96" s="4" t="s">
        <v>379</v>
      </c>
      <c r="C96" s="4" t="s">
        <v>65</v>
      </c>
      <c r="D96" s="4" t="s">
        <v>380</v>
      </c>
      <c r="E96" s="4" t="s">
        <v>381</v>
      </c>
      <c r="F96" s="4" t="s">
        <v>274</v>
      </c>
      <c r="G96" s="4" t="s">
        <v>382</v>
      </c>
      <c r="H96" s="4" t="s">
        <v>383</v>
      </c>
      <c r="I96" s="4" t="s">
        <v>16</v>
      </c>
      <c r="J96" s="4"/>
      <c r="K96" s="4"/>
      <c r="L96" s="4"/>
      <c r="M96" s="4" t="s">
        <v>20</v>
      </c>
    </row>
    <row r="97" spans="1:13">
      <c r="A97" s="4">
        <v>49</v>
      </c>
      <c r="B97" s="4" t="s">
        <v>384</v>
      </c>
      <c r="C97" s="4" t="s">
        <v>65</v>
      </c>
      <c r="D97" s="4" t="s">
        <v>278</v>
      </c>
      <c r="E97" s="4" t="s">
        <v>385</v>
      </c>
      <c r="F97" s="4" t="s">
        <v>274</v>
      </c>
      <c r="G97" s="4" t="s">
        <v>379</v>
      </c>
      <c r="H97" s="4" t="s">
        <v>386</v>
      </c>
      <c r="I97" s="4" t="s">
        <v>16</v>
      </c>
      <c r="J97" s="4"/>
      <c r="K97" s="4"/>
      <c r="L97" s="4"/>
      <c r="M97" s="4" t="s">
        <v>20</v>
      </c>
    </row>
    <row r="98" spans="1:13">
      <c r="A98" s="4">
        <v>50</v>
      </c>
      <c r="B98" s="4" t="s">
        <v>386</v>
      </c>
      <c r="C98" s="4" t="s">
        <v>65</v>
      </c>
      <c r="D98" s="4" t="s">
        <v>281</v>
      </c>
      <c r="E98" s="4" t="s">
        <v>387</v>
      </c>
      <c r="F98" s="4" t="s">
        <v>283</v>
      </c>
      <c r="G98" s="4" t="s">
        <v>384</v>
      </c>
      <c r="H98" s="4" t="s">
        <v>388</v>
      </c>
      <c r="I98" s="4" t="s">
        <v>16</v>
      </c>
      <c r="J98" s="4"/>
      <c r="K98" s="4"/>
      <c r="L98" s="4"/>
      <c r="M98" s="4" t="s">
        <v>20</v>
      </c>
    </row>
    <row r="99" spans="1:13">
      <c r="A99" s="4">
        <v>51</v>
      </c>
      <c r="B99" s="4" t="s">
        <v>389</v>
      </c>
      <c r="C99" s="4" t="s">
        <v>65</v>
      </c>
      <c r="D99" s="4" t="s">
        <v>286</v>
      </c>
      <c r="E99" s="4" t="s">
        <v>390</v>
      </c>
      <c r="F99" s="4" t="s">
        <v>206</v>
      </c>
      <c r="G99" s="4" t="s">
        <v>373</v>
      </c>
      <c r="H99" s="4" t="s">
        <v>391</v>
      </c>
      <c r="I99" s="4" t="s">
        <v>16</v>
      </c>
      <c r="J99" s="4"/>
      <c r="K99" s="4"/>
      <c r="L99" s="4"/>
      <c r="M99" s="4" t="s">
        <v>20</v>
      </c>
    </row>
    <row r="100" spans="1:13">
      <c r="A100" s="4">
        <v>52</v>
      </c>
      <c r="B100" s="4" t="s">
        <v>391</v>
      </c>
      <c r="C100" s="4" t="s">
        <v>65</v>
      </c>
      <c r="D100" s="4" t="s">
        <v>289</v>
      </c>
      <c r="E100" s="4" t="s">
        <v>392</v>
      </c>
      <c r="F100" s="4" t="s">
        <v>239</v>
      </c>
      <c r="G100" s="4" t="s">
        <v>389</v>
      </c>
      <c r="H100" s="4" t="s">
        <v>393</v>
      </c>
      <c r="I100" s="4" t="s">
        <v>16</v>
      </c>
      <c r="J100" s="4"/>
      <c r="K100" s="4"/>
      <c r="L100" s="4"/>
      <c r="M100" s="4" t="s">
        <v>20</v>
      </c>
    </row>
    <row r="101" spans="1:13" ht="28">
      <c r="A101" s="4">
        <v>53</v>
      </c>
      <c r="B101" s="4" t="s">
        <v>393</v>
      </c>
      <c r="C101" s="4" t="s">
        <v>65</v>
      </c>
      <c r="D101" s="4" t="s">
        <v>292</v>
      </c>
      <c r="E101" s="4" t="s">
        <v>394</v>
      </c>
      <c r="F101" s="4" t="s">
        <v>206</v>
      </c>
      <c r="G101" s="4" t="s">
        <v>391</v>
      </c>
      <c r="H101" s="4" t="s">
        <v>395</v>
      </c>
      <c r="I101" s="4" t="s">
        <v>16</v>
      </c>
      <c r="J101" s="4"/>
      <c r="K101" s="4"/>
      <c r="L101" s="4"/>
      <c r="M101" s="4" t="s">
        <v>20</v>
      </c>
    </row>
    <row r="102" spans="1:13" ht="28">
      <c r="A102" s="4">
        <v>54</v>
      </c>
      <c r="B102" s="4" t="s">
        <v>395</v>
      </c>
      <c r="C102" s="4" t="s">
        <v>65</v>
      </c>
      <c r="D102" s="4" t="s">
        <v>295</v>
      </c>
      <c r="E102" s="4" t="s">
        <v>396</v>
      </c>
      <c r="F102" s="4" t="s">
        <v>297</v>
      </c>
      <c r="G102" s="4" t="s">
        <v>397</v>
      </c>
      <c r="H102" s="4" t="s">
        <v>398</v>
      </c>
      <c r="I102" s="4" t="s">
        <v>16</v>
      </c>
      <c r="J102" s="4"/>
      <c r="K102" s="4"/>
      <c r="L102" s="4"/>
      <c r="M102" s="4" t="s">
        <v>20</v>
      </c>
    </row>
    <row r="103" spans="1:13">
      <c r="A103" s="4">
        <v>55</v>
      </c>
      <c r="B103" s="4" t="s">
        <v>398</v>
      </c>
      <c r="C103" s="4" t="s">
        <v>65</v>
      </c>
      <c r="D103" s="4" t="s">
        <v>399</v>
      </c>
      <c r="E103" s="4" t="s">
        <v>400</v>
      </c>
      <c r="F103" s="4" t="s">
        <v>297</v>
      </c>
      <c r="G103" s="4" t="s">
        <v>395</v>
      </c>
      <c r="H103" s="4" t="s">
        <v>401</v>
      </c>
      <c r="I103" s="4" t="s">
        <v>16</v>
      </c>
      <c r="J103" s="4"/>
      <c r="K103" s="4"/>
      <c r="L103" s="4"/>
      <c r="M103" s="4" t="s">
        <v>20</v>
      </c>
    </row>
    <row r="104" spans="1:13">
      <c r="A104" s="4">
        <v>56</v>
      </c>
      <c r="B104" s="4" t="s">
        <v>402</v>
      </c>
      <c r="C104" s="4" t="s">
        <v>65</v>
      </c>
      <c r="D104" s="4" t="s">
        <v>403</v>
      </c>
      <c r="E104" s="4" t="s">
        <v>404</v>
      </c>
      <c r="F104" s="4" t="s">
        <v>302</v>
      </c>
      <c r="G104" s="4" t="s">
        <v>398</v>
      </c>
      <c r="H104" s="4" t="s">
        <v>405</v>
      </c>
      <c r="I104" s="4" t="s">
        <v>16</v>
      </c>
      <c r="J104" s="4"/>
      <c r="K104" s="4"/>
      <c r="L104" s="4"/>
      <c r="M104" s="4" t="s">
        <v>20</v>
      </c>
    </row>
    <row r="105" spans="1:13">
      <c r="A105" s="4">
        <v>57</v>
      </c>
      <c r="B105" s="4" t="s">
        <v>406</v>
      </c>
      <c r="C105" s="4" t="s">
        <v>73</v>
      </c>
      <c r="D105" s="4" t="s">
        <v>407</v>
      </c>
      <c r="E105" s="4" t="s">
        <v>408</v>
      </c>
      <c r="F105" s="4" t="s">
        <v>206</v>
      </c>
      <c r="G105" s="4" t="s">
        <v>402</v>
      </c>
      <c r="H105" s="4" t="s">
        <v>409</v>
      </c>
      <c r="I105" s="4" t="s">
        <v>16</v>
      </c>
      <c r="J105" s="4"/>
      <c r="K105" s="4"/>
      <c r="L105" s="4"/>
      <c r="M105" s="4" t="s">
        <v>20</v>
      </c>
    </row>
    <row r="106" spans="1:13">
      <c r="A106" s="4">
        <v>58</v>
      </c>
      <c r="B106" s="4" t="s">
        <v>410</v>
      </c>
      <c r="C106" s="4" t="s">
        <v>73</v>
      </c>
      <c r="D106" s="4" t="s">
        <v>411</v>
      </c>
      <c r="E106" s="4" t="s">
        <v>412</v>
      </c>
      <c r="F106" s="4" t="s">
        <v>413</v>
      </c>
      <c r="G106" s="4" t="s">
        <v>398</v>
      </c>
      <c r="H106" s="4" t="s">
        <v>414</v>
      </c>
      <c r="I106" s="4" t="s">
        <v>16</v>
      </c>
      <c r="J106" s="4"/>
      <c r="K106" s="4"/>
      <c r="L106" s="4"/>
      <c r="M106" s="4" t="s">
        <v>20</v>
      </c>
    </row>
    <row r="107" spans="1:13">
      <c r="A107" s="4">
        <v>59</v>
      </c>
      <c r="B107" s="4" t="s">
        <v>415</v>
      </c>
      <c r="C107" s="4" t="s">
        <v>73</v>
      </c>
      <c r="D107" s="4" t="s">
        <v>416</v>
      </c>
      <c r="E107" s="4" t="s">
        <v>417</v>
      </c>
      <c r="F107" s="4" t="s">
        <v>178</v>
      </c>
      <c r="G107" s="4" t="s">
        <v>406</v>
      </c>
      <c r="H107" s="4" t="s">
        <v>414</v>
      </c>
      <c r="I107" s="4" t="s">
        <v>16</v>
      </c>
      <c r="J107" s="4"/>
      <c r="K107" s="4"/>
      <c r="L107" s="4"/>
      <c r="M107" s="4" t="s">
        <v>20</v>
      </c>
    </row>
    <row r="108" spans="1:13">
      <c r="A108" s="4">
        <v>60</v>
      </c>
      <c r="B108" s="4" t="s">
        <v>418</v>
      </c>
      <c r="C108" s="4" t="s">
        <v>73</v>
      </c>
      <c r="D108" s="4" t="s">
        <v>419</v>
      </c>
      <c r="E108" s="4" t="s">
        <v>420</v>
      </c>
      <c r="F108" s="4" t="s">
        <v>421</v>
      </c>
      <c r="G108" s="4" t="s">
        <v>422</v>
      </c>
      <c r="H108" s="4" t="s">
        <v>414</v>
      </c>
      <c r="I108" s="4" t="s">
        <v>16</v>
      </c>
      <c r="J108" s="4"/>
      <c r="K108" s="4"/>
      <c r="L108" s="4"/>
      <c r="M108" s="4" t="s">
        <v>20</v>
      </c>
    </row>
    <row r="109" spans="1:13">
      <c r="A109" s="4">
        <v>61</v>
      </c>
      <c r="B109" s="4" t="s">
        <v>423</v>
      </c>
      <c r="C109" s="4" t="s">
        <v>73</v>
      </c>
      <c r="D109" s="4" t="s">
        <v>424</v>
      </c>
      <c r="E109" s="4" t="s">
        <v>424</v>
      </c>
      <c r="F109" s="4" t="s">
        <v>425</v>
      </c>
      <c r="G109" s="4" t="s">
        <v>426</v>
      </c>
      <c r="H109" s="4" t="s">
        <v>414</v>
      </c>
      <c r="I109" s="4" t="s">
        <v>16</v>
      </c>
      <c r="J109" s="4"/>
      <c r="K109" s="4"/>
      <c r="L109" s="4"/>
      <c r="M109" s="4" t="s">
        <v>20</v>
      </c>
    </row>
    <row r="110" spans="1:13">
      <c r="A110" s="4">
        <v>62</v>
      </c>
      <c r="B110" s="4" t="s">
        <v>427</v>
      </c>
      <c r="C110" s="4" t="s">
        <v>73</v>
      </c>
      <c r="D110" s="4" t="s">
        <v>428</v>
      </c>
      <c r="E110" s="4" t="s">
        <v>429</v>
      </c>
      <c r="F110" s="4" t="s">
        <v>430</v>
      </c>
      <c r="G110" s="4" t="s">
        <v>426</v>
      </c>
      <c r="H110" s="4" t="s">
        <v>414</v>
      </c>
      <c r="I110" s="4" t="s">
        <v>16</v>
      </c>
      <c r="J110" s="4"/>
      <c r="K110" s="4"/>
      <c r="L110" s="4"/>
      <c r="M110" s="4" t="s">
        <v>20</v>
      </c>
    </row>
    <row r="111" spans="1:13">
      <c r="A111" s="4">
        <v>63</v>
      </c>
      <c r="B111" s="4" t="s">
        <v>414</v>
      </c>
      <c r="C111" s="4" t="s">
        <v>73</v>
      </c>
      <c r="D111" s="4" t="s">
        <v>431</v>
      </c>
      <c r="E111" s="4" t="s">
        <v>431</v>
      </c>
      <c r="F111" s="4" t="s">
        <v>432</v>
      </c>
      <c r="G111" s="4" t="s">
        <v>433</v>
      </c>
      <c r="H111" s="4"/>
      <c r="I111" s="4" t="s">
        <v>16</v>
      </c>
      <c r="J111" s="4"/>
      <c r="K111" s="4"/>
      <c r="L111" s="4"/>
      <c r="M111" s="4" t="s">
        <v>20</v>
      </c>
    </row>
    <row r="113" spans="1:13">
      <c r="A113" s="6" t="s">
        <v>524</v>
      </c>
      <c r="B113" s="6"/>
      <c r="C113" s="6"/>
      <c r="D113" s="6"/>
      <c r="E113" s="6"/>
      <c r="F113" s="6"/>
      <c r="G113" s="6"/>
      <c r="H113" s="6"/>
      <c r="I113" s="6"/>
      <c r="J113" s="6"/>
    </row>
    <row r="114" spans="1:13">
      <c r="A114" s="1" t="s">
        <v>525</v>
      </c>
      <c r="B114" s="1" t="s">
        <v>526</v>
      </c>
      <c r="C114" s="1" t="s">
        <v>459</v>
      </c>
      <c r="D114" s="1" t="s">
        <v>3</v>
      </c>
      <c r="E114" s="1" t="s">
        <v>4</v>
      </c>
      <c r="F114" s="1" t="s">
        <v>511</v>
      </c>
      <c r="G114" s="1" t="s">
        <v>527</v>
      </c>
      <c r="H114" s="1" t="s">
        <v>528</v>
      </c>
      <c r="I114" s="1" t="s">
        <v>529</v>
      </c>
      <c r="J114" s="1" t="s">
        <v>530</v>
      </c>
      <c r="K114" s="1" t="s">
        <v>440</v>
      </c>
    </row>
    <row r="115" spans="1:13">
      <c r="A115" t="s">
        <v>738</v>
      </c>
      <c r="B115" t="s">
        <v>739</v>
      </c>
      <c r="C115" t="s">
        <v>463</v>
      </c>
      <c r="D115" t="s">
        <v>83</v>
      </c>
      <c r="E115" t="s">
        <v>29</v>
      </c>
      <c r="F115" t="s">
        <v>740</v>
      </c>
      <c r="G115" t="s">
        <v>741</v>
      </c>
      <c r="H115" t="s">
        <v>742</v>
      </c>
      <c r="I115" t="s">
        <v>603</v>
      </c>
      <c r="J115" t="s">
        <v>501</v>
      </c>
      <c r="K115" t="s">
        <v>20</v>
      </c>
    </row>
    <row r="117" spans="1:13">
      <c r="A117" s="6" t="s">
        <v>546</v>
      </c>
      <c r="B117" s="6"/>
      <c r="C117" s="6"/>
      <c r="D117" s="6"/>
      <c r="E117" s="6"/>
      <c r="F117" s="6"/>
      <c r="G117" s="6"/>
      <c r="H117" s="6"/>
      <c r="I117" s="6"/>
      <c r="J117" s="6"/>
    </row>
    <row r="118" spans="1:13">
      <c r="A118" s="1" t="s">
        <v>547</v>
      </c>
      <c r="B118" s="1" t="s">
        <v>472</v>
      </c>
      <c r="C118" s="1" t="s">
        <v>548</v>
      </c>
      <c r="D118" s="1" t="s">
        <v>474</v>
      </c>
      <c r="E118" s="1" t="s">
        <v>523</v>
      </c>
      <c r="F118" s="1" t="s">
        <v>511</v>
      </c>
      <c r="G118" s="1" t="s">
        <v>3</v>
      </c>
      <c r="H118" s="1" t="s">
        <v>549</v>
      </c>
      <c r="I118" s="1" t="s">
        <v>550</v>
      </c>
      <c r="J118" s="1" t="s">
        <v>551</v>
      </c>
      <c r="K118" s="1" t="s">
        <v>9</v>
      </c>
      <c r="L118" s="1" t="s">
        <v>552</v>
      </c>
      <c r="M118" s="1" t="s">
        <v>440</v>
      </c>
    </row>
    <row r="119" spans="1:13">
      <c r="M119" t="s">
        <v>32</v>
      </c>
    </row>
    <row r="121" spans="1:13">
      <c r="A121" s="6" t="s">
        <v>560</v>
      </c>
      <c r="B121" s="6"/>
      <c r="C121" s="6"/>
      <c r="D121" s="6"/>
      <c r="E121" s="6"/>
      <c r="F121" s="6"/>
      <c r="G121" s="6"/>
      <c r="H121" s="6"/>
      <c r="I121" s="6"/>
      <c r="J121" s="6"/>
    </row>
    <row r="122" spans="1:13">
      <c r="A122" s="1" t="s">
        <v>561</v>
      </c>
      <c r="B122" s="1" t="s">
        <v>13</v>
      </c>
      <c r="C122" s="1" t="s">
        <v>459</v>
      </c>
      <c r="D122" s="1" t="s">
        <v>511</v>
      </c>
      <c r="E122" s="1" t="s">
        <v>3</v>
      </c>
      <c r="F122" s="1" t="s">
        <v>461</v>
      </c>
      <c r="G122" s="1" t="s">
        <v>440</v>
      </c>
    </row>
    <row r="123" spans="1:13">
      <c r="G123" t="s">
        <v>32</v>
      </c>
    </row>
  </sheetData>
  <mergeCells count="1">
    <mergeCell ref="A1:J1"/>
  </mergeCells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66"/>
  <sheetViews>
    <sheetView zoomScale="85" zoomScaleNormal="85" workbookViewId="0"/>
  </sheetViews>
  <sheetFormatPr defaultRowHeight="14"/>
  <cols>
    <col min="1" max="1" width="16" customWidth="1"/>
    <col min="2" max="2" width="10" customWidth="1"/>
    <col min="3" max="3" width="30" customWidth="1"/>
    <col min="4" max="4" width="18" customWidth="1"/>
    <col min="5" max="5" width="48" customWidth="1"/>
    <col min="6" max="8" width="28" customWidth="1"/>
    <col min="9" max="12" width="16" customWidth="1"/>
  </cols>
  <sheetData>
    <row r="1" spans="1:12" ht="36">
      <c r="A1" s="13" t="s">
        <v>188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>
      <c r="A2" t="s">
        <v>189</v>
      </c>
    </row>
    <row r="3" spans="1:12">
      <c r="A3" s="11" t="s">
        <v>190</v>
      </c>
      <c r="B3" s="11" t="s">
        <v>191</v>
      </c>
      <c r="C3" s="11" t="s">
        <v>192</v>
      </c>
      <c r="D3" s="11" t="s">
        <v>121</v>
      </c>
      <c r="E3" s="11" t="s">
        <v>193</v>
      </c>
      <c r="F3" s="11" t="s">
        <v>194</v>
      </c>
      <c r="G3" s="11" t="s">
        <v>195</v>
      </c>
      <c r="H3" s="11" t="s">
        <v>196</v>
      </c>
      <c r="I3" s="11" t="s">
        <v>197</v>
      </c>
      <c r="J3" s="11" t="s">
        <v>128</v>
      </c>
      <c r="K3" s="11" t="s">
        <v>198</v>
      </c>
      <c r="L3" s="11" t="s">
        <v>199</v>
      </c>
    </row>
    <row r="4" spans="1:12">
      <c r="A4" t="s">
        <v>200</v>
      </c>
      <c r="B4">
        <v>1</v>
      </c>
      <c r="C4" t="s">
        <v>25</v>
      </c>
      <c r="D4" t="s">
        <v>201</v>
      </c>
      <c r="E4" t="s">
        <v>202</v>
      </c>
      <c r="F4" t="s">
        <v>178</v>
      </c>
      <c r="H4" t="s">
        <v>203</v>
      </c>
      <c r="I4" t="s">
        <v>16</v>
      </c>
      <c r="J4" t="s">
        <v>20</v>
      </c>
      <c r="K4">
        <v>1</v>
      </c>
    </row>
    <row r="5" spans="1:12">
      <c r="A5" t="s">
        <v>203</v>
      </c>
      <c r="B5">
        <v>2</v>
      </c>
      <c r="C5" t="s">
        <v>25</v>
      </c>
      <c r="D5" t="s">
        <v>204</v>
      </c>
      <c r="E5" t="s">
        <v>205</v>
      </c>
      <c r="F5" t="s">
        <v>206</v>
      </c>
      <c r="G5" t="s">
        <v>200</v>
      </c>
      <c r="H5" t="s">
        <v>207</v>
      </c>
      <c r="I5" t="s">
        <v>16</v>
      </c>
      <c r="J5" t="s">
        <v>20</v>
      </c>
      <c r="K5">
        <v>2</v>
      </c>
    </row>
    <row r="6" spans="1:12">
      <c r="A6" t="s">
        <v>207</v>
      </c>
      <c r="B6">
        <v>3</v>
      </c>
      <c r="C6" t="s">
        <v>25</v>
      </c>
      <c r="D6" t="s">
        <v>208</v>
      </c>
      <c r="E6" t="s">
        <v>209</v>
      </c>
      <c r="F6" t="s">
        <v>206</v>
      </c>
      <c r="G6" t="s">
        <v>203</v>
      </c>
      <c r="H6" t="s">
        <v>210</v>
      </c>
      <c r="I6" t="s">
        <v>16</v>
      </c>
      <c r="J6" t="s">
        <v>20</v>
      </c>
      <c r="K6">
        <v>3</v>
      </c>
    </row>
    <row r="7" spans="1:12">
      <c r="A7" t="s">
        <v>210</v>
      </c>
      <c r="B7">
        <v>4</v>
      </c>
      <c r="C7" t="s">
        <v>25</v>
      </c>
      <c r="D7" t="s">
        <v>211</v>
      </c>
      <c r="E7" t="s">
        <v>212</v>
      </c>
      <c r="F7" t="s">
        <v>178</v>
      </c>
      <c r="G7" t="s">
        <v>207</v>
      </c>
      <c r="H7" t="s">
        <v>213</v>
      </c>
      <c r="I7" t="s">
        <v>16</v>
      </c>
      <c r="J7" t="s">
        <v>20</v>
      </c>
      <c r="K7">
        <v>4</v>
      </c>
    </row>
    <row r="8" spans="1:12">
      <c r="A8" t="s">
        <v>214</v>
      </c>
      <c r="B8">
        <v>5</v>
      </c>
      <c r="C8" t="s">
        <v>25</v>
      </c>
      <c r="D8" t="s">
        <v>215</v>
      </c>
      <c r="E8" t="s">
        <v>216</v>
      </c>
      <c r="F8" t="s">
        <v>217</v>
      </c>
      <c r="G8" t="s">
        <v>210</v>
      </c>
      <c r="H8" t="s">
        <v>218</v>
      </c>
      <c r="I8" t="s">
        <v>16</v>
      </c>
      <c r="J8" t="s">
        <v>20</v>
      </c>
      <c r="K8">
        <v>5</v>
      </c>
    </row>
    <row r="9" spans="1:12">
      <c r="A9" t="s">
        <v>219</v>
      </c>
      <c r="B9">
        <v>6</v>
      </c>
      <c r="C9" t="s">
        <v>25</v>
      </c>
      <c r="D9" t="s">
        <v>220</v>
      </c>
      <c r="E9" t="s">
        <v>221</v>
      </c>
      <c r="F9" t="s">
        <v>217</v>
      </c>
      <c r="G9" t="s">
        <v>207</v>
      </c>
      <c r="H9" t="s">
        <v>222</v>
      </c>
      <c r="I9" t="s">
        <v>16</v>
      </c>
      <c r="J9" t="s">
        <v>20</v>
      </c>
      <c r="K9">
        <v>6</v>
      </c>
    </row>
    <row r="10" spans="1:12">
      <c r="A10" t="s">
        <v>223</v>
      </c>
      <c r="B10">
        <v>7</v>
      </c>
      <c r="C10" t="s">
        <v>25</v>
      </c>
      <c r="D10" t="s">
        <v>224</v>
      </c>
      <c r="E10" t="s">
        <v>225</v>
      </c>
      <c r="F10" t="s">
        <v>226</v>
      </c>
      <c r="G10" t="s">
        <v>210</v>
      </c>
      <c r="H10" t="s">
        <v>227</v>
      </c>
      <c r="I10" t="s">
        <v>16</v>
      </c>
      <c r="J10" t="s">
        <v>20</v>
      </c>
      <c r="K10">
        <v>7</v>
      </c>
    </row>
    <row r="11" spans="1:12">
      <c r="A11" t="s">
        <v>228</v>
      </c>
      <c r="B11">
        <v>8</v>
      </c>
      <c r="C11" t="s">
        <v>25</v>
      </c>
      <c r="D11" t="s">
        <v>229</v>
      </c>
      <c r="E11" t="s">
        <v>230</v>
      </c>
      <c r="F11" t="s">
        <v>231</v>
      </c>
      <c r="G11" t="s">
        <v>214</v>
      </c>
      <c r="H11" t="s">
        <v>232</v>
      </c>
      <c r="I11" t="s">
        <v>16</v>
      </c>
      <c r="J11" t="s">
        <v>20</v>
      </c>
      <c r="K11">
        <v>8</v>
      </c>
    </row>
    <row r="12" spans="1:12">
      <c r="A12" t="s">
        <v>233</v>
      </c>
      <c r="B12">
        <v>9</v>
      </c>
      <c r="C12" t="s">
        <v>25</v>
      </c>
      <c r="D12" t="s">
        <v>234</v>
      </c>
      <c r="E12" t="s">
        <v>235</v>
      </c>
      <c r="F12" t="s">
        <v>206</v>
      </c>
      <c r="G12" t="s">
        <v>214</v>
      </c>
      <c r="H12" t="s">
        <v>232</v>
      </c>
      <c r="I12" t="s">
        <v>16</v>
      </c>
      <c r="J12" t="s">
        <v>20</v>
      </c>
      <c r="K12">
        <v>9</v>
      </c>
    </row>
    <row r="13" spans="1:12">
      <c r="A13" t="s">
        <v>236</v>
      </c>
      <c r="B13">
        <v>10</v>
      </c>
      <c r="C13" t="s">
        <v>37</v>
      </c>
      <c r="D13" t="s">
        <v>237</v>
      </c>
      <c r="E13" t="s">
        <v>238</v>
      </c>
      <c r="F13" t="s">
        <v>239</v>
      </c>
      <c r="G13" t="s">
        <v>219</v>
      </c>
      <c r="H13" t="s">
        <v>240</v>
      </c>
      <c r="I13" t="s">
        <v>16</v>
      </c>
      <c r="J13" t="s">
        <v>20</v>
      </c>
      <c r="K13">
        <v>10</v>
      </c>
    </row>
    <row r="14" spans="1:12">
      <c r="A14" t="s">
        <v>241</v>
      </c>
      <c r="B14">
        <v>11</v>
      </c>
      <c r="C14" t="s">
        <v>37</v>
      </c>
      <c r="D14" t="s">
        <v>242</v>
      </c>
      <c r="E14" t="s">
        <v>243</v>
      </c>
      <c r="F14" t="s">
        <v>239</v>
      </c>
      <c r="G14" t="s">
        <v>219</v>
      </c>
      <c r="H14" t="s">
        <v>244</v>
      </c>
      <c r="I14" t="s">
        <v>16</v>
      </c>
      <c r="J14" t="s">
        <v>20</v>
      </c>
      <c r="K14">
        <v>11</v>
      </c>
    </row>
    <row r="15" spans="1:12">
      <c r="A15" t="s">
        <v>245</v>
      </c>
      <c r="B15">
        <v>12</v>
      </c>
      <c r="C15" t="s">
        <v>37</v>
      </c>
      <c r="D15" t="s">
        <v>246</v>
      </c>
      <c r="E15" t="s">
        <v>247</v>
      </c>
      <c r="F15" t="s">
        <v>248</v>
      </c>
      <c r="G15" t="s">
        <v>241</v>
      </c>
      <c r="H15" t="s">
        <v>249</v>
      </c>
      <c r="I15" t="s">
        <v>16</v>
      </c>
      <c r="J15" t="s">
        <v>20</v>
      </c>
      <c r="K15">
        <v>12</v>
      </c>
    </row>
    <row r="16" spans="1:12">
      <c r="A16" t="s">
        <v>250</v>
      </c>
      <c r="B16">
        <v>13</v>
      </c>
      <c r="C16" t="s">
        <v>37</v>
      </c>
      <c r="D16" t="s">
        <v>251</v>
      </c>
      <c r="E16" t="s">
        <v>252</v>
      </c>
      <c r="F16" t="s">
        <v>248</v>
      </c>
      <c r="G16" t="s">
        <v>245</v>
      </c>
      <c r="H16" t="s">
        <v>253</v>
      </c>
      <c r="I16" t="s">
        <v>16</v>
      </c>
      <c r="J16" t="s">
        <v>20</v>
      </c>
      <c r="K16">
        <v>13</v>
      </c>
    </row>
    <row r="17" spans="1:11">
      <c r="A17" t="s">
        <v>254</v>
      </c>
      <c r="B17">
        <v>14</v>
      </c>
      <c r="C17" t="s">
        <v>37</v>
      </c>
      <c r="D17" t="s">
        <v>255</v>
      </c>
      <c r="E17" t="s">
        <v>256</v>
      </c>
      <c r="F17" t="s">
        <v>257</v>
      </c>
      <c r="G17" t="s">
        <v>250</v>
      </c>
      <c r="H17" t="s">
        <v>258</v>
      </c>
      <c r="I17" t="s">
        <v>16</v>
      </c>
      <c r="J17" t="s">
        <v>20</v>
      </c>
      <c r="K17">
        <v>14</v>
      </c>
    </row>
    <row r="18" spans="1:11">
      <c r="A18" t="s">
        <v>240</v>
      </c>
      <c r="B18">
        <v>15</v>
      </c>
      <c r="C18" t="s">
        <v>48</v>
      </c>
      <c r="D18" t="s">
        <v>259</v>
      </c>
      <c r="E18" t="s">
        <v>260</v>
      </c>
      <c r="F18" t="s">
        <v>226</v>
      </c>
      <c r="G18" t="s">
        <v>261</v>
      </c>
      <c r="H18" t="s">
        <v>262</v>
      </c>
      <c r="I18" t="s">
        <v>16</v>
      </c>
      <c r="J18" t="s">
        <v>20</v>
      </c>
      <c r="K18">
        <v>15</v>
      </c>
    </row>
    <row r="19" spans="1:11">
      <c r="A19" t="s">
        <v>262</v>
      </c>
      <c r="B19">
        <v>16</v>
      </c>
      <c r="C19" t="s">
        <v>48</v>
      </c>
      <c r="D19" t="s">
        <v>263</v>
      </c>
      <c r="E19" t="s">
        <v>264</v>
      </c>
      <c r="F19" t="s">
        <v>239</v>
      </c>
      <c r="G19" t="s">
        <v>240</v>
      </c>
      <c r="H19" t="s">
        <v>265</v>
      </c>
      <c r="I19" t="s">
        <v>16</v>
      </c>
      <c r="J19" t="s">
        <v>20</v>
      </c>
      <c r="K19">
        <v>16</v>
      </c>
    </row>
    <row r="20" spans="1:11">
      <c r="A20" t="s">
        <v>266</v>
      </c>
      <c r="B20">
        <v>17</v>
      </c>
      <c r="C20" t="s">
        <v>48</v>
      </c>
      <c r="D20" t="s">
        <v>267</v>
      </c>
      <c r="E20" t="s">
        <v>268</v>
      </c>
      <c r="F20" t="s">
        <v>239</v>
      </c>
      <c r="G20" t="s">
        <v>269</v>
      </c>
      <c r="H20" t="s">
        <v>270</v>
      </c>
      <c r="I20" t="s">
        <v>16</v>
      </c>
      <c r="J20" t="s">
        <v>20</v>
      </c>
      <c r="K20">
        <v>17</v>
      </c>
    </row>
    <row r="21" spans="1:11">
      <c r="A21" t="s">
        <v>271</v>
      </c>
      <c r="B21">
        <v>18</v>
      </c>
      <c r="C21" t="s">
        <v>48</v>
      </c>
      <c r="D21" t="s">
        <v>272</v>
      </c>
      <c r="E21" t="s">
        <v>273</v>
      </c>
      <c r="F21" t="s">
        <v>274</v>
      </c>
      <c r="G21" t="s">
        <v>275</v>
      </c>
      <c r="H21" t="s">
        <v>276</v>
      </c>
      <c r="I21" t="s">
        <v>16</v>
      </c>
      <c r="J21" t="s">
        <v>20</v>
      </c>
      <c r="K21">
        <v>18</v>
      </c>
    </row>
    <row r="22" spans="1:11">
      <c r="A22" t="s">
        <v>277</v>
      </c>
      <c r="B22">
        <v>19</v>
      </c>
      <c r="C22" t="s">
        <v>48</v>
      </c>
      <c r="D22" t="s">
        <v>278</v>
      </c>
      <c r="E22" t="s">
        <v>279</v>
      </c>
      <c r="F22" t="s">
        <v>274</v>
      </c>
      <c r="G22" t="s">
        <v>271</v>
      </c>
      <c r="H22" t="s">
        <v>280</v>
      </c>
      <c r="I22" t="s">
        <v>16</v>
      </c>
      <c r="J22" t="s">
        <v>20</v>
      </c>
      <c r="K22">
        <v>19</v>
      </c>
    </row>
    <row r="23" spans="1:11">
      <c r="A23" t="s">
        <v>280</v>
      </c>
      <c r="B23">
        <v>20</v>
      </c>
      <c r="C23" t="s">
        <v>48</v>
      </c>
      <c r="D23" t="s">
        <v>281</v>
      </c>
      <c r="E23" t="s">
        <v>282</v>
      </c>
      <c r="F23" t="s">
        <v>283</v>
      </c>
      <c r="G23" t="s">
        <v>277</v>
      </c>
      <c r="H23" t="s">
        <v>284</v>
      </c>
      <c r="I23" t="s">
        <v>16</v>
      </c>
      <c r="J23" t="s">
        <v>20</v>
      </c>
      <c r="K23">
        <v>20</v>
      </c>
    </row>
    <row r="24" spans="1:11">
      <c r="A24" t="s">
        <v>285</v>
      </c>
      <c r="B24">
        <v>21</v>
      </c>
      <c r="C24" t="s">
        <v>48</v>
      </c>
      <c r="D24" t="s">
        <v>286</v>
      </c>
      <c r="E24" t="s">
        <v>287</v>
      </c>
      <c r="F24" t="s">
        <v>206</v>
      </c>
      <c r="G24" t="s">
        <v>265</v>
      </c>
      <c r="H24" t="s">
        <v>288</v>
      </c>
      <c r="I24" t="s">
        <v>16</v>
      </c>
      <c r="J24" t="s">
        <v>20</v>
      </c>
      <c r="K24">
        <v>21</v>
      </c>
    </row>
    <row r="25" spans="1:11">
      <c r="A25" t="s">
        <v>288</v>
      </c>
      <c r="B25">
        <v>22</v>
      </c>
      <c r="C25" t="s">
        <v>48</v>
      </c>
      <c r="D25" t="s">
        <v>289</v>
      </c>
      <c r="E25" t="s">
        <v>290</v>
      </c>
      <c r="F25" t="s">
        <v>239</v>
      </c>
      <c r="G25" t="s">
        <v>285</v>
      </c>
      <c r="H25" t="s">
        <v>291</v>
      </c>
      <c r="I25" t="s">
        <v>16</v>
      </c>
      <c r="J25" t="s">
        <v>20</v>
      </c>
      <c r="K25">
        <v>22</v>
      </c>
    </row>
    <row r="26" spans="1:11">
      <c r="A26" t="s">
        <v>291</v>
      </c>
      <c r="B26">
        <v>23</v>
      </c>
      <c r="C26" t="s">
        <v>48</v>
      </c>
      <c r="D26" t="s">
        <v>292</v>
      </c>
      <c r="E26" t="s">
        <v>293</v>
      </c>
      <c r="F26" t="s">
        <v>206</v>
      </c>
      <c r="G26" t="s">
        <v>288</v>
      </c>
      <c r="H26" t="s">
        <v>294</v>
      </c>
      <c r="I26" t="s">
        <v>16</v>
      </c>
      <c r="J26" t="s">
        <v>20</v>
      </c>
      <c r="K26">
        <v>23</v>
      </c>
    </row>
    <row r="27" spans="1:11">
      <c r="A27" t="s">
        <v>294</v>
      </c>
      <c r="B27">
        <v>24</v>
      </c>
      <c r="C27" t="s">
        <v>48</v>
      </c>
      <c r="D27" t="s">
        <v>295</v>
      </c>
      <c r="E27" t="s">
        <v>296</v>
      </c>
      <c r="F27" t="s">
        <v>297</v>
      </c>
      <c r="G27" t="s">
        <v>298</v>
      </c>
      <c r="H27" t="s">
        <v>299</v>
      </c>
      <c r="I27" t="s">
        <v>16</v>
      </c>
      <c r="J27" t="s">
        <v>20</v>
      </c>
      <c r="K27">
        <v>24</v>
      </c>
    </row>
    <row r="28" spans="1:11">
      <c r="A28" t="s">
        <v>299</v>
      </c>
      <c r="B28">
        <v>25</v>
      </c>
      <c r="C28" t="s">
        <v>48</v>
      </c>
      <c r="D28" t="s">
        <v>300</v>
      </c>
      <c r="E28" t="s">
        <v>301</v>
      </c>
      <c r="F28" t="s">
        <v>302</v>
      </c>
      <c r="G28" t="s">
        <v>294</v>
      </c>
      <c r="H28" t="s">
        <v>303</v>
      </c>
      <c r="I28" t="s">
        <v>16</v>
      </c>
      <c r="J28" t="s">
        <v>20</v>
      </c>
      <c r="K28">
        <v>25</v>
      </c>
    </row>
    <row r="29" spans="1:11">
      <c r="A29" t="s">
        <v>304</v>
      </c>
      <c r="B29">
        <v>26</v>
      </c>
      <c r="C29" t="s">
        <v>58</v>
      </c>
      <c r="D29" t="s">
        <v>305</v>
      </c>
      <c r="E29" t="s">
        <v>306</v>
      </c>
      <c r="F29" t="s">
        <v>239</v>
      </c>
      <c r="G29" t="s">
        <v>299</v>
      </c>
      <c r="H29" t="s">
        <v>307</v>
      </c>
      <c r="I29" t="s">
        <v>16</v>
      </c>
      <c r="J29" t="s">
        <v>20</v>
      </c>
      <c r="K29">
        <v>26</v>
      </c>
    </row>
    <row r="30" spans="1:11">
      <c r="A30" t="s">
        <v>308</v>
      </c>
      <c r="B30">
        <v>27</v>
      </c>
      <c r="C30" t="s">
        <v>58</v>
      </c>
      <c r="D30" t="s">
        <v>309</v>
      </c>
      <c r="E30" t="s">
        <v>310</v>
      </c>
      <c r="F30" t="s">
        <v>311</v>
      </c>
      <c r="G30" t="s">
        <v>304</v>
      </c>
      <c r="H30" t="s">
        <v>312</v>
      </c>
      <c r="I30" t="s">
        <v>16</v>
      </c>
      <c r="J30" t="s">
        <v>20</v>
      </c>
      <c r="K30">
        <v>27</v>
      </c>
    </row>
    <row r="31" spans="1:11">
      <c r="A31" t="s">
        <v>313</v>
      </c>
      <c r="B31">
        <v>28</v>
      </c>
      <c r="C31" t="s">
        <v>58</v>
      </c>
      <c r="D31" t="s">
        <v>314</v>
      </c>
      <c r="E31" t="s">
        <v>315</v>
      </c>
      <c r="F31" t="s">
        <v>206</v>
      </c>
      <c r="G31" t="s">
        <v>299</v>
      </c>
      <c r="H31" t="s">
        <v>312</v>
      </c>
      <c r="I31" t="s">
        <v>16</v>
      </c>
      <c r="J31" t="s">
        <v>20</v>
      </c>
      <c r="K31">
        <v>28</v>
      </c>
    </row>
    <row r="32" spans="1:11">
      <c r="A32" t="s">
        <v>312</v>
      </c>
      <c r="B32">
        <v>29</v>
      </c>
      <c r="C32" t="s">
        <v>58</v>
      </c>
      <c r="D32" t="s">
        <v>316</v>
      </c>
      <c r="E32" t="s">
        <v>317</v>
      </c>
      <c r="F32" t="s">
        <v>248</v>
      </c>
      <c r="G32" t="s">
        <v>318</v>
      </c>
      <c r="H32" t="s">
        <v>319</v>
      </c>
      <c r="I32" t="s">
        <v>16</v>
      </c>
      <c r="J32" t="s">
        <v>20</v>
      </c>
      <c r="K32">
        <v>29</v>
      </c>
    </row>
    <row r="33" spans="1:11">
      <c r="A33" t="s">
        <v>319</v>
      </c>
      <c r="B33">
        <v>30</v>
      </c>
      <c r="C33" t="s">
        <v>58</v>
      </c>
      <c r="D33" t="s">
        <v>259</v>
      </c>
      <c r="E33" t="s">
        <v>320</v>
      </c>
      <c r="F33" t="s">
        <v>226</v>
      </c>
      <c r="G33" t="s">
        <v>321</v>
      </c>
      <c r="H33" t="s">
        <v>322</v>
      </c>
      <c r="I33" t="s">
        <v>16</v>
      </c>
      <c r="J33" t="s">
        <v>20</v>
      </c>
      <c r="K33">
        <v>30</v>
      </c>
    </row>
    <row r="34" spans="1:11">
      <c r="A34" t="s">
        <v>322</v>
      </c>
      <c r="B34">
        <v>31</v>
      </c>
      <c r="C34" t="s">
        <v>58</v>
      </c>
      <c r="D34" t="s">
        <v>263</v>
      </c>
      <c r="E34" t="s">
        <v>323</v>
      </c>
      <c r="F34" t="s">
        <v>239</v>
      </c>
      <c r="G34" t="s">
        <v>319</v>
      </c>
      <c r="H34" t="s">
        <v>324</v>
      </c>
      <c r="I34" t="s">
        <v>16</v>
      </c>
      <c r="J34" t="s">
        <v>20</v>
      </c>
      <c r="K34">
        <v>31</v>
      </c>
    </row>
    <row r="35" spans="1:11">
      <c r="A35" t="s">
        <v>325</v>
      </c>
      <c r="B35">
        <v>32</v>
      </c>
      <c r="C35" t="s">
        <v>58</v>
      </c>
      <c r="D35" t="s">
        <v>326</v>
      </c>
      <c r="E35" t="s">
        <v>327</v>
      </c>
      <c r="F35" t="s">
        <v>239</v>
      </c>
      <c r="G35" t="s">
        <v>328</v>
      </c>
      <c r="H35" t="s">
        <v>329</v>
      </c>
      <c r="I35" t="s">
        <v>16</v>
      </c>
      <c r="J35" t="s">
        <v>20</v>
      </c>
      <c r="K35">
        <v>32</v>
      </c>
    </row>
    <row r="36" spans="1:11">
      <c r="A36" t="s">
        <v>330</v>
      </c>
      <c r="B36">
        <v>33</v>
      </c>
      <c r="C36" t="s">
        <v>58</v>
      </c>
      <c r="D36" t="s">
        <v>331</v>
      </c>
      <c r="E36" t="s">
        <v>332</v>
      </c>
      <c r="F36" t="s">
        <v>274</v>
      </c>
      <c r="G36" t="s">
        <v>333</v>
      </c>
      <c r="H36" t="s">
        <v>334</v>
      </c>
      <c r="I36" t="s">
        <v>16</v>
      </c>
      <c r="J36" t="s">
        <v>20</v>
      </c>
      <c r="K36">
        <v>33</v>
      </c>
    </row>
    <row r="37" spans="1:11">
      <c r="A37" t="s">
        <v>335</v>
      </c>
      <c r="B37">
        <v>34</v>
      </c>
      <c r="C37" t="s">
        <v>58</v>
      </c>
      <c r="D37" t="s">
        <v>278</v>
      </c>
      <c r="E37" t="s">
        <v>336</v>
      </c>
      <c r="F37" t="s">
        <v>274</v>
      </c>
      <c r="G37" t="s">
        <v>330</v>
      </c>
      <c r="H37" t="s">
        <v>337</v>
      </c>
      <c r="I37" t="s">
        <v>16</v>
      </c>
      <c r="J37" t="s">
        <v>20</v>
      </c>
      <c r="K37">
        <v>34</v>
      </c>
    </row>
    <row r="38" spans="1:11">
      <c r="A38" t="s">
        <v>337</v>
      </c>
      <c r="B38">
        <v>35</v>
      </c>
      <c r="C38" t="s">
        <v>58</v>
      </c>
      <c r="D38" t="s">
        <v>281</v>
      </c>
      <c r="E38" t="s">
        <v>338</v>
      </c>
      <c r="F38" t="s">
        <v>283</v>
      </c>
      <c r="G38" t="s">
        <v>335</v>
      </c>
      <c r="H38" t="s">
        <v>339</v>
      </c>
      <c r="I38" t="s">
        <v>16</v>
      </c>
      <c r="J38" t="s">
        <v>20</v>
      </c>
      <c r="K38">
        <v>35</v>
      </c>
    </row>
    <row r="39" spans="1:11">
      <c r="A39" t="s">
        <v>340</v>
      </c>
      <c r="B39">
        <v>36</v>
      </c>
      <c r="C39" t="s">
        <v>58</v>
      </c>
      <c r="D39" t="s">
        <v>286</v>
      </c>
      <c r="E39" t="s">
        <v>341</v>
      </c>
      <c r="F39" t="s">
        <v>206</v>
      </c>
      <c r="G39" t="s">
        <v>324</v>
      </c>
      <c r="H39" t="s">
        <v>342</v>
      </c>
      <c r="I39" t="s">
        <v>16</v>
      </c>
      <c r="J39" t="s">
        <v>20</v>
      </c>
      <c r="K39">
        <v>36</v>
      </c>
    </row>
    <row r="40" spans="1:11">
      <c r="A40" t="s">
        <v>342</v>
      </c>
      <c r="B40">
        <v>37</v>
      </c>
      <c r="C40" t="s">
        <v>58</v>
      </c>
      <c r="D40" t="s">
        <v>289</v>
      </c>
      <c r="E40" t="s">
        <v>343</v>
      </c>
      <c r="F40" t="s">
        <v>239</v>
      </c>
      <c r="G40" t="s">
        <v>340</v>
      </c>
      <c r="H40" t="s">
        <v>344</v>
      </c>
      <c r="I40" t="s">
        <v>16</v>
      </c>
      <c r="J40" t="s">
        <v>20</v>
      </c>
      <c r="K40">
        <v>37</v>
      </c>
    </row>
    <row r="41" spans="1:11">
      <c r="A41" t="s">
        <v>344</v>
      </c>
      <c r="B41">
        <v>38</v>
      </c>
      <c r="C41" t="s">
        <v>58</v>
      </c>
      <c r="D41" t="s">
        <v>292</v>
      </c>
      <c r="E41" t="s">
        <v>345</v>
      </c>
      <c r="F41" t="s">
        <v>206</v>
      </c>
      <c r="G41" t="s">
        <v>342</v>
      </c>
      <c r="H41" t="s">
        <v>346</v>
      </c>
      <c r="I41" t="s">
        <v>16</v>
      </c>
      <c r="J41" t="s">
        <v>20</v>
      </c>
      <c r="K41">
        <v>38</v>
      </c>
    </row>
    <row r="42" spans="1:11">
      <c r="A42" t="s">
        <v>346</v>
      </c>
      <c r="B42">
        <v>39</v>
      </c>
      <c r="C42" t="s">
        <v>58</v>
      </c>
      <c r="D42" t="s">
        <v>295</v>
      </c>
      <c r="E42" t="s">
        <v>347</v>
      </c>
      <c r="F42" t="s">
        <v>297</v>
      </c>
      <c r="G42" t="s">
        <v>348</v>
      </c>
      <c r="H42" t="s">
        <v>349</v>
      </c>
      <c r="I42" t="s">
        <v>16</v>
      </c>
      <c r="J42" t="s">
        <v>20</v>
      </c>
      <c r="K42">
        <v>39</v>
      </c>
    </row>
    <row r="43" spans="1:11">
      <c r="A43" t="s">
        <v>349</v>
      </c>
      <c r="B43">
        <v>40</v>
      </c>
      <c r="C43" t="s">
        <v>58</v>
      </c>
      <c r="D43" t="s">
        <v>350</v>
      </c>
      <c r="E43" t="s">
        <v>351</v>
      </c>
      <c r="F43" t="s">
        <v>302</v>
      </c>
      <c r="G43" t="s">
        <v>346</v>
      </c>
      <c r="H43" t="s">
        <v>352</v>
      </c>
      <c r="I43" t="s">
        <v>16</v>
      </c>
      <c r="J43" t="s">
        <v>20</v>
      </c>
      <c r="K43">
        <v>40</v>
      </c>
    </row>
    <row r="44" spans="1:11">
      <c r="A44" t="s">
        <v>353</v>
      </c>
      <c r="B44">
        <v>41</v>
      </c>
      <c r="C44" t="s">
        <v>65</v>
      </c>
      <c r="D44" t="s">
        <v>354</v>
      </c>
      <c r="E44" t="s">
        <v>355</v>
      </c>
      <c r="F44" t="s">
        <v>356</v>
      </c>
      <c r="G44" t="s">
        <v>357</v>
      </c>
      <c r="H44" t="s">
        <v>358</v>
      </c>
      <c r="I44" t="s">
        <v>16</v>
      </c>
      <c r="J44" t="s">
        <v>20</v>
      </c>
      <c r="K44">
        <v>41</v>
      </c>
    </row>
    <row r="45" spans="1:11">
      <c r="A45" t="s">
        <v>359</v>
      </c>
      <c r="B45">
        <v>42</v>
      </c>
      <c r="C45" t="s">
        <v>65</v>
      </c>
      <c r="D45" t="s">
        <v>360</v>
      </c>
      <c r="E45" t="s">
        <v>361</v>
      </c>
      <c r="F45" t="s">
        <v>206</v>
      </c>
      <c r="G45" t="s">
        <v>349</v>
      </c>
      <c r="H45" t="s">
        <v>362</v>
      </c>
      <c r="I45" t="s">
        <v>16</v>
      </c>
      <c r="J45" t="s">
        <v>20</v>
      </c>
      <c r="K45">
        <v>42</v>
      </c>
    </row>
    <row r="46" spans="1:11">
      <c r="A46" t="s">
        <v>362</v>
      </c>
      <c r="B46">
        <v>43</v>
      </c>
      <c r="C46" t="s">
        <v>65</v>
      </c>
      <c r="D46" t="s">
        <v>363</v>
      </c>
      <c r="E46" t="s">
        <v>364</v>
      </c>
      <c r="F46" t="s">
        <v>248</v>
      </c>
      <c r="G46" t="s">
        <v>365</v>
      </c>
      <c r="H46" t="s">
        <v>366</v>
      </c>
      <c r="I46" t="s">
        <v>16</v>
      </c>
      <c r="J46" t="s">
        <v>20</v>
      </c>
      <c r="K46">
        <v>43</v>
      </c>
    </row>
    <row r="47" spans="1:11">
      <c r="A47" t="s">
        <v>366</v>
      </c>
      <c r="B47">
        <v>44</v>
      </c>
      <c r="C47" t="s">
        <v>65</v>
      </c>
      <c r="D47" t="s">
        <v>367</v>
      </c>
      <c r="E47" t="s">
        <v>256</v>
      </c>
      <c r="F47" t="s">
        <v>257</v>
      </c>
      <c r="G47" t="s">
        <v>368</v>
      </c>
      <c r="H47" t="s">
        <v>358</v>
      </c>
      <c r="I47" t="s">
        <v>16</v>
      </c>
      <c r="J47" t="s">
        <v>20</v>
      </c>
      <c r="K47">
        <v>44</v>
      </c>
    </row>
    <row r="48" spans="1:11">
      <c r="A48" t="s">
        <v>358</v>
      </c>
      <c r="B48">
        <v>45</v>
      </c>
      <c r="C48" t="s">
        <v>65</v>
      </c>
      <c r="D48" t="s">
        <v>259</v>
      </c>
      <c r="E48" t="s">
        <v>369</v>
      </c>
      <c r="F48" t="s">
        <v>226</v>
      </c>
      <c r="G48" t="s">
        <v>370</v>
      </c>
      <c r="H48" t="s">
        <v>371</v>
      </c>
      <c r="I48" t="s">
        <v>16</v>
      </c>
      <c r="J48" t="s">
        <v>20</v>
      </c>
      <c r="K48">
        <v>45</v>
      </c>
    </row>
    <row r="49" spans="1:11">
      <c r="A49" t="s">
        <v>371</v>
      </c>
      <c r="B49">
        <v>46</v>
      </c>
      <c r="C49" t="s">
        <v>65</v>
      </c>
      <c r="D49" t="s">
        <v>263</v>
      </c>
      <c r="E49" t="s">
        <v>372</v>
      </c>
      <c r="F49" t="s">
        <v>239</v>
      </c>
      <c r="G49" t="s">
        <v>358</v>
      </c>
      <c r="H49" t="s">
        <v>373</v>
      </c>
      <c r="I49" t="s">
        <v>16</v>
      </c>
      <c r="J49" t="s">
        <v>20</v>
      </c>
      <c r="K49">
        <v>46</v>
      </c>
    </row>
    <row r="50" spans="1:11">
      <c r="A50" t="s">
        <v>374</v>
      </c>
      <c r="B50">
        <v>47</v>
      </c>
      <c r="C50" t="s">
        <v>65</v>
      </c>
      <c r="D50" t="s">
        <v>375</v>
      </c>
      <c r="E50" t="s">
        <v>376</v>
      </c>
      <c r="F50" t="s">
        <v>239</v>
      </c>
      <c r="G50" t="s">
        <v>377</v>
      </c>
      <c r="H50" t="s">
        <v>378</v>
      </c>
      <c r="I50" t="s">
        <v>16</v>
      </c>
      <c r="J50" t="s">
        <v>20</v>
      </c>
      <c r="K50">
        <v>47</v>
      </c>
    </row>
    <row r="51" spans="1:11">
      <c r="A51" t="s">
        <v>379</v>
      </c>
      <c r="B51">
        <v>48</v>
      </c>
      <c r="C51" t="s">
        <v>65</v>
      </c>
      <c r="D51" t="s">
        <v>380</v>
      </c>
      <c r="E51" t="s">
        <v>381</v>
      </c>
      <c r="F51" t="s">
        <v>274</v>
      </c>
      <c r="G51" t="s">
        <v>382</v>
      </c>
      <c r="H51" t="s">
        <v>383</v>
      </c>
      <c r="I51" t="s">
        <v>16</v>
      </c>
      <c r="J51" t="s">
        <v>20</v>
      </c>
      <c r="K51">
        <v>48</v>
      </c>
    </row>
    <row r="52" spans="1:11">
      <c r="A52" t="s">
        <v>384</v>
      </c>
      <c r="B52">
        <v>49</v>
      </c>
      <c r="C52" t="s">
        <v>65</v>
      </c>
      <c r="D52" t="s">
        <v>278</v>
      </c>
      <c r="E52" t="s">
        <v>385</v>
      </c>
      <c r="F52" t="s">
        <v>274</v>
      </c>
      <c r="G52" t="s">
        <v>379</v>
      </c>
      <c r="H52" t="s">
        <v>386</v>
      </c>
      <c r="I52" t="s">
        <v>16</v>
      </c>
      <c r="J52" t="s">
        <v>20</v>
      </c>
      <c r="K52">
        <v>49</v>
      </c>
    </row>
    <row r="53" spans="1:11">
      <c r="A53" t="s">
        <v>386</v>
      </c>
      <c r="B53">
        <v>50</v>
      </c>
      <c r="C53" t="s">
        <v>65</v>
      </c>
      <c r="D53" t="s">
        <v>281</v>
      </c>
      <c r="E53" t="s">
        <v>387</v>
      </c>
      <c r="F53" t="s">
        <v>283</v>
      </c>
      <c r="G53" t="s">
        <v>384</v>
      </c>
      <c r="H53" t="s">
        <v>388</v>
      </c>
      <c r="I53" t="s">
        <v>16</v>
      </c>
      <c r="J53" t="s">
        <v>20</v>
      </c>
      <c r="K53">
        <v>50</v>
      </c>
    </row>
    <row r="54" spans="1:11">
      <c r="A54" t="s">
        <v>389</v>
      </c>
      <c r="B54">
        <v>51</v>
      </c>
      <c r="C54" t="s">
        <v>65</v>
      </c>
      <c r="D54" t="s">
        <v>286</v>
      </c>
      <c r="E54" t="s">
        <v>390</v>
      </c>
      <c r="F54" t="s">
        <v>206</v>
      </c>
      <c r="G54" t="s">
        <v>373</v>
      </c>
      <c r="H54" t="s">
        <v>391</v>
      </c>
      <c r="I54" t="s">
        <v>16</v>
      </c>
      <c r="J54" t="s">
        <v>20</v>
      </c>
      <c r="K54">
        <v>51</v>
      </c>
    </row>
    <row r="55" spans="1:11">
      <c r="A55" t="s">
        <v>391</v>
      </c>
      <c r="B55">
        <v>52</v>
      </c>
      <c r="C55" t="s">
        <v>65</v>
      </c>
      <c r="D55" t="s">
        <v>289</v>
      </c>
      <c r="E55" t="s">
        <v>392</v>
      </c>
      <c r="F55" t="s">
        <v>239</v>
      </c>
      <c r="G55" t="s">
        <v>389</v>
      </c>
      <c r="H55" t="s">
        <v>393</v>
      </c>
      <c r="I55" t="s">
        <v>16</v>
      </c>
      <c r="J55" t="s">
        <v>20</v>
      </c>
      <c r="K55">
        <v>52</v>
      </c>
    </row>
    <row r="56" spans="1:11">
      <c r="A56" t="s">
        <v>393</v>
      </c>
      <c r="B56">
        <v>53</v>
      </c>
      <c r="C56" t="s">
        <v>65</v>
      </c>
      <c r="D56" t="s">
        <v>292</v>
      </c>
      <c r="E56" t="s">
        <v>394</v>
      </c>
      <c r="F56" t="s">
        <v>206</v>
      </c>
      <c r="G56" t="s">
        <v>391</v>
      </c>
      <c r="H56" t="s">
        <v>395</v>
      </c>
      <c r="I56" t="s">
        <v>16</v>
      </c>
      <c r="J56" t="s">
        <v>20</v>
      </c>
      <c r="K56">
        <v>53</v>
      </c>
    </row>
    <row r="57" spans="1:11">
      <c r="A57" t="s">
        <v>395</v>
      </c>
      <c r="B57">
        <v>54</v>
      </c>
      <c r="C57" t="s">
        <v>65</v>
      </c>
      <c r="D57" t="s">
        <v>295</v>
      </c>
      <c r="E57" t="s">
        <v>396</v>
      </c>
      <c r="F57" t="s">
        <v>297</v>
      </c>
      <c r="G57" t="s">
        <v>397</v>
      </c>
      <c r="H57" t="s">
        <v>398</v>
      </c>
      <c r="I57" t="s">
        <v>16</v>
      </c>
      <c r="J57" t="s">
        <v>20</v>
      </c>
      <c r="K57">
        <v>54</v>
      </c>
    </row>
    <row r="58" spans="1:11">
      <c r="A58" t="s">
        <v>398</v>
      </c>
      <c r="B58">
        <v>55</v>
      </c>
      <c r="C58" t="s">
        <v>65</v>
      </c>
      <c r="D58" t="s">
        <v>399</v>
      </c>
      <c r="E58" t="s">
        <v>400</v>
      </c>
      <c r="F58" t="s">
        <v>297</v>
      </c>
      <c r="G58" t="s">
        <v>395</v>
      </c>
      <c r="H58" t="s">
        <v>401</v>
      </c>
      <c r="I58" t="s">
        <v>16</v>
      </c>
      <c r="J58" t="s">
        <v>20</v>
      </c>
      <c r="K58">
        <v>55</v>
      </c>
    </row>
    <row r="59" spans="1:11">
      <c r="A59" t="s">
        <v>402</v>
      </c>
      <c r="B59">
        <v>56</v>
      </c>
      <c r="C59" t="s">
        <v>65</v>
      </c>
      <c r="D59" t="s">
        <v>403</v>
      </c>
      <c r="E59" t="s">
        <v>404</v>
      </c>
      <c r="F59" t="s">
        <v>302</v>
      </c>
      <c r="G59" t="s">
        <v>398</v>
      </c>
      <c r="H59" t="s">
        <v>405</v>
      </c>
      <c r="I59" t="s">
        <v>16</v>
      </c>
      <c r="J59" t="s">
        <v>20</v>
      </c>
      <c r="K59">
        <v>56</v>
      </c>
    </row>
    <row r="60" spans="1:11">
      <c r="A60" t="s">
        <v>406</v>
      </c>
      <c r="B60">
        <v>57</v>
      </c>
      <c r="C60" t="s">
        <v>73</v>
      </c>
      <c r="D60" t="s">
        <v>407</v>
      </c>
      <c r="E60" t="s">
        <v>408</v>
      </c>
      <c r="F60" t="s">
        <v>206</v>
      </c>
      <c r="G60" t="s">
        <v>402</v>
      </c>
      <c r="H60" t="s">
        <v>409</v>
      </c>
      <c r="I60" t="s">
        <v>16</v>
      </c>
      <c r="J60" t="s">
        <v>20</v>
      </c>
      <c r="K60">
        <v>57</v>
      </c>
    </row>
    <row r="61" spans="1:11">
      <c r="A61" t="s">
        <v>410</v>
      </c>
      <c r="B61">
        <v>58</v>
      </c>
      <c r="C61" t="s">
        <v>73</v>
      </c>
      <c r="D61" t="s">
        <v>411</v>
      </c>
      <c r="E61" t="s">
        <v>412</v>
      </c>
      <c r="F61" t="s">
        <v>413</v>
      </c>
      <c r="G61" t="s">
        <v>398</v>
      </c>
      <c r="H61" t="s">
        <v>414</v>
      </c>
      <c r="I61" t="s">
        <v>16</v>
      </c>
      <c r="J61" t="s">
        <v>20</v>
      </c>
      <c r="K61">
        <v>58</v>
      </c>
    </row>
    <row r="62" spans="1:11">
      <c r="A62" t="s">
        <v>415</v>
      </c>
      <c r="B62">
        <v>59</v>
      </c>
      <c r="C62" t="s">
        <v>73</v>
      </c>
      <c r="D62" t="s">
        <v>416</v>
      </c>
      <c r="E62" t="s">
        <v>417</v>
      </c>
      <c r="F62" t="s">
        <v>178</v>
      </c>
      <c r="G62" t="s">
        <v>406</v>
      </c>
      <c r="H62" t="s">
        <v>414</v>
      </c>
      <c r="I62" t="s">
        <v>16</v>
      </c>
      <c r="J62" t="s">
        <v>20</v>
      </c>
      <c r="K62">
        <v>59</v>
      </c>
    </row>
    <row r="63" spans="1:11">
      <c r="A63" t="s">
        <v>418</v>
      </c>
      <c r="B63">
        <v>60</v>
      </c>
      <c r="C63" t="s">
        <v>73</v>
      </c>
      <c r="D63" t="s">
        <v>419</v>
      </c>
      <c r="E63" t="s">
        <v>420</v>
      </c>
      <c r="F63" t="s">
        <v>421</v>
      </c>
      <c r="G63" t="s">
        <v>422</v>
      </c>
      <c r="H63" t="s">
        <v>414</v>
      </c>
      <c r="I63" t="s">
        <v>16</v>
      </c>
      <c r="J63" t="s">
        <v>20</v>
      </c>
      <c r="K63">
        <v>60</v>
      </c>
    </row>
    <row r="64" spans="1:11">
      <c r="A64" t="s">
        <v>423</v>
      </c>
      <c r="B64">
        <v>61</v>
      </c>
      <c r="C64" t="s">
        <v>73</v>
      </c>
      <c r="D64" t="s">
        <v>424</v>
      </c>
      <c r="E64" t="s">
        <v>424</v>
      </c>
      <c r="F64" t="s">
        <v>425</v>
      </c>
      <c r="G64" t="s">
        <v>426</v>
      </c>
      <c r="H64" t="s">
        <v>414</v>
      </c>
      <c r="I64" t="s">
        <v>16</v>
      </c>
      <c r="J64" t="s">
        <v>20</v>
      </c>
      <c r="K64">
        <v>61</v>
      </c>
    </row>
    <row r="65" spans="1:11">
      <c r="A65" t="s">
        <v>427</v>
      </c>
      <c r="B65">
        <v>62</v>
      </c>
      <c r="C65" t="s">
        <v>73</v>
      </c>
      <c r="D65" t="s">
        <v>428</v>
      </c>
      <c r="E65" t="s">
        <v>429</v>
      </c>
      <c r="F65" t="s">
        <v>430</v>
      </c>
      <c r="G65" t="s">
        <v>426</v>
      </c>
      <c r="H65" t="s">
        <v>414</v>
      </c>
      <c r="I65" t="s">
        <v>16</v>
      </c>
      <c r="J65" t="s">
        <v>20</v>
      </c>
      <c r="K65">
        <v>62</v>
      </c>
    </row>
    <row r="66" spans="1:11">
      <c r="A66" t="s">
        <v>414</v>
      </c>
      <c r="B66">
        <v>63</v>
      </c>
      <c r="C66" t="s">
        <v>73</v>
      </c>
      <c r="D66" t="s">
        <v>431</v>
      </c>
      <c r="E66" t="s">
        <v>431</v>
      </c>
      <c r="F66" t="s">
        <v>432</v>
      </c>
      <c r="G66" t="s">
        <v>433</v>
      </c>
      <c r="I66" t="s">
        <v>16</v>
      </c>
      <c r="J66" t="s">
        <v>20</v>
      </c>
      <c r="K66">
        <v>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58"/>
  <sheetViews>
    <sheetView tabSelected="1" zoomScale="70" zoomScaleNormal="70" workbookViewId="0">
      <selection activeCell="C18" sqref="C18"/>
    </sheetView>
  </sheetViews>
  <sheetFormatPr defaultRowHeight="14"/>
  <cols>
    <col min="1" max="1" width="22" customWidth="1"/>
    <col min="2" max="2" width="80" customWidth="1"/>
    <col min="3" max="3" width="22" customWidth="1"/>
    <col min="4" max="4" width="20" customWidth="1"/>
    <col min="5" max="5" width="16" customWidth="1"/>
    <col min="6" max="6" width="24" customWidth="1"/>
    <col min="7" max="7" width="22" customWidth="1"/>
    <col min="8" max="8" width="52" customWidth="1"/>
    <col min="9" max="9" width="18" customWidth="1"/>
  </cols>
  <sheetData>
    <row r="1" spans="1:10" ht="18.649999999999999" customHeight="1">
      <c r="A1" s="23" t="s">
        <v>743</v>
      </c>
      <c r="B1" s="24"/>
      <c r="C1" s="24"/>
      <c r="D1" s="24"/>
      <c r="E1" s="24"/>
      <c r="F1" s="24"/>
      <c r="G1" s="24"/>
      <c r="H1" s="24"/>
      <c r="I1" s="24"/>
    </row>
    <row r="2" spans="1:10" ht="14.5">
      <c r="A2" s="25" t="s">
        <v>744</v>
      </c>
      <c r="B2" s="24"/>
      <c r="C2" s="24"/>
      <c r="D2" s="24"/>
      <c r="E2" s="24"/>
      <c r="F2" s="24"/>
      <c r="G2" s="24"/>
      <c r="H2" s="24"/>
      <c r="I2" s="24"/>
    </row>
    <row r="4" spans="1:10">
      <c r="A4" s="26" t="s">
        <v>745</v>
      </c>
      <c r="B4" s="27"/>
      <c r="C4" s="24"/>
      <c r="D4" s="24"/>
    </row>
    <row r="5" spans="1:10">
      <c r="A5" s="15" t="s">
        <v>2</v>
      </c>
      <c r="B5" s="16">
        <f>COUNTIF(CandidatePipeline[Category],"Shortlisted")</f>
        <v>1</v>
      </c>
    </row>
    <row r="6" spans="1:10">
      <c r="A6" s="15" t="s">
        <v>15</v>
      </c>
      <c r="B6" s="16">
        <f>COUNTIF(CandidatePipeline[Category],"Under Shortlisting")</f>
        <v>3</v>
      </c>
    </row>
    <row r="7" spans="1:10">
      <c r="A7" s="15" t="s">
        <v>27</v>
      </c>
      <c r="B7" s="16">
        <f>COUNTIF(CandidatePipeline[Category],"Future Phase")</f>
        <v>0</v>
      </c>
    </row>
    <row r="8" spans="1:10">
      <c r="A8" s="15" t="s">
        <v>39</v>
      </c>
      <c r="B8" s="16">
        <f>COUNTIF(CandidatePipeline[Category],"Not Eligible")</f>
        <v>0</v>
      </c>
    </row>
    <row r="11" spans="1:10" ht="16" customHeight="1">
      <c r="A11" s="17" t="s">
        <v>746</v>
      </c>
      <c r="B11" s="17" t="s">
        <v>747</v>
      </c>
      <c r="C11" s="17" t="s">
        <v>748</v>
      </c>
      <c r="D11" s="17" t="s">
        <v>3</v>
      </c>
      <c r="E11" s="17" t="s">
        <v>749</v>
      </c>
      <c r="F11" s="17" t="s">
        <v>750</v>
      </c>
      <c r="G11" s="17" t="s">
        <v>751</v>
      </c>
      <c r="H11" s="17" t="s">
        <v>752</v>
      </c>
      <c r="I11" s="17" t="s">
        <v>753</v>
      </c>
      <c r="J11" t="s">
        <v>440</v>
      </c>
    </row>
    <row r="12" spans="1:10" ht="24" customHeight="1">
      <c r="A12" s="18" t="s">
        <v>754</v>
      </c>
      <c r="B12" s="18" t="s">
        <v>770</v>
      </c>
      <c r="C12" s="18" t="s">
        <v>15</v>
      </c>
      <c r="D12" s="18" t="s">
        <v>28</v>
      </c>
      <c r="E12" s="18" t="s">
        <v>30</v>
      </c>
      <c r="F12" s="18"/>
      <c r="G12" s="18"/>
      <c r="H12" s="18"/>
      <c r="I12" s="18" t="s">
        <v>32</v>
      </c>
    </row>
    <row r="13" spans="1:10" ht="24" customHeight="1">
      <c r="A13" s="18" t="s">
        <v>755</v>
      </c>
      <c r="B13" s="18" t="s">
        <v>771</v>
      </c>
      <c r="C13" s="18" t="s">
        <v>59</v>
      </c>
      <c r="D13" s="18" t="s">
        <v>769</v>
      </c>
      <c r="E13" s="18" t="s">
        <v>30</v>
      </c>
      <c r="F13" s="18"/>
      <c r="G13" s="18"/>
      <c r="H13" s="18"/>
      <c r="I13" s="18" t="s">
        <v>32</v>
      </c>
    </row>
    <row r="14" spans="1:10" ht="24" customHeight="1">
      <c r="A14" s="18" t="s">
        <v>756</v>
      </c>
      <c r="B14" s="18" t="s">
        <v>772</v>
      </c>
      <c r="C14" s="18" t="s">
        <v>15</v>
      </c>
      <c r="D14" s="18" t="s">
        <v>88</v>
      </c>
      <c r="E14" s="18" t="s">
        <v>30</v>
      </c>
      <c r="F14" s="18"/>
      <c r="G14" s="18"/>
      <c r="H14" s="18"/>
      <c r="I14" s="18" t="s">
        <v>32</v>
      </c>
    </row>
    <row r="15" spans="1:10" ht="24" customHeight="1">
      <c r="A15" s="18" t="s">
        <v>757</v>
      </c>
      <c r="B15" s="18" t="s">
        <v>773</v>
      </c>
      <c r="C15" s="18" t="s">
        <v>15</v>
      </c>
      <c r="D15" s="18" t="s">
        <v>39</v>
      </c>
      <c r="E15" s="18" t="s">
        <v>27</v>
      </c>
      <c r="F15" s="18"/>
      <c r="G15" s="18"/>
      <c r="H15" s="18"/>
      <c r="I15" s="18" t="s">
        <v>32</v>
      </c>
    </row>
    <row r="16" spans="1:10" ht="24" customHeight="1">
      <c r="A16" s="18" t="s">
        <v>775</v>
      </c>
      <c r="B16" s="18" t="s">
        <v>774</v>
      </c>
      <c r="C16" s="18" t="s">
        <v>2</v>
      </c>
      <c r="D16" s="18" t="s">
        <v>83</v>
      </c>
      <c r="E16" s="18" t="s">
        <v>30</v>
      </c>
      <c r="F16" s="18"/>
      <c r="G16" s="18"/>
      <c r="H16" s="18"/>
      <c r="I16" s="18"/>
    </row>
    <row r="17" spans="1:9" ht="24" customHeight="1">
      <c r="A17" s="18"/>
      <c r="B17" s="18"/>
      <c r="C17" s="18"/>
      <c r="D17" s="18"/>
      <c r="E17" s="18"/>
      <c r="F17" s="18"/>
      <c r="G17" s="18"/>
      <c r="H17" s="18"/>
      <c r="I17" s="18"/>
    </row>
    <row r="18" spans="1:9" ht="24" customHeight="1">
      <c r="A18" s="18"/>
      <c r="B18" s="18"/>
      <c r="C18" s="18"/>
      <c r="D18" s="18"/>
      <c r="E18" s="18"/>
      <c r="F18" s="18"/>
      <c r="G18" s="18"/>
      <c r="H18" s="18"/>
      <c r="I18" s="18"/>
    </row>
    <row r="19" spans="1:9" ht="24" customHeight="1">
      <c r="A19" s="18"/>
      <c r="B19" s="18"/>
      <c r="C19" s="18"/>
      <c r="D19" s="18"/>
      <c r="E19" s="18"/>
      <c r="F19" s="18"/>
      <c r="G19" s="18"/>
      <c r="H19" s="18"/>
      <c r="I19" s="18"/>
    </row>
    <row r="20" spans="1:9" ht="24" customHeight="1">
      <c r="A20" s="18"/>
      <c r="B20" s="18"/>
      <c r="C20" s="18"/>
      <c r="D20" s="18"/>
      <c r="E20" s="18"/>
      <c r="F20" s="18"/>
      <c r="G20" s="18"/>
      <c r="H20" s="18"/>
      <c r="I20" s="18"/>
    </row>
    <row r="21" spans="1:9" ht="24" customHeight="1">
      <c r="A21" s="18"/>
      <c r="B21" s="18"/>
      <c r="C21" s="18"/>
      <c r="D21" s="18"/>
      <c r="E21" s="18"/>
      <c r="F21" s="18"/>
      <c r="G21" s="18"/>
      <c r="H21" s="18"/>
      <c r="I21" s="18"/>
    </row>
    <row r="22" spans="1:9" ht="24" customHeight="1">
      <c r="A22" s="18"/>
      <c r="B22" s="18"/>
      <c r="C22" s="18"/>
      <c r="D22" s="18"/>
      <c r="E22" s="18"/>
      <c r="F22" s="18"/>
      <c r="G22" s="18"/>
      <c r="H22" s="18"/>
      <c r="I22" s="18"/>
    </row>
    <row r="23" spans="1:9" ht="24" customHeight="1">
      <c r="A23" s="18"/>
      <c r="B23" s="18"/>
      <c r="C23" s="18"/>
      <c r="D23" s="18"/>
      <c r="E23" s="18"/>
      <c r="F23" s="18"/>
      <c r="G23" s="18"/>
      <c r="H23" s="18"/>
      <c r="I23" s="18"/>
    </row>
    <row r="24" spans="1:9" ht="24" customHeight="1">
      <c r="A24" s="18"/>
      <c r="B24" s="18"/>
      <c r="C24" s="18"/>
      <c r="D24" s="18"/>
      <c r="E24" s="18"/>
      <c r="F24" s="18"/>
      <c r="G24" s="18"/>
      <c r="H24" s="18"/>
      <c r="I24" s="18"/>
    </row>
    <row r="25" spans="1:9" ht="24" customHeight="1">
      <c r="A25" s="18"/>
      <c r="B25" s="18"/>
      <c r="C25" s="18"/>
      <c r="D25" s="18"/>
      <c r="E25" s="18"/>
      <c r="F25" s="18"/>
      <c r="G25" s="18"/>
      <c r="H25" s="18"/>
      <c r="I25" s="18"/>
    </row>
    <row r="26" spans="1:9" ht="24" customHeight="1">
      <c r="A26" s="18"/>
      <c r="B26" s="18"/>
      <c r="C26" s="18"/>
      <c r="D26" s="18"/>
      <c r="E26" s="18"/>
      <c r="F26" s="18"/>
      <c r="G26" s="18"/>
      <c r="H26" s="18"/>
      <c r="I26" s="18"/>
    </row>
    <row r="27" spans="1:9" ht="24" customHeight="1">
      <c r="A27" s="18"/>
      <c r="B27" s="18"/>
      <c r="C27" s="18"/>
      <c r="D27" s="18"/>
      <c r="E27" s="18"/>
      <c r="F27" s="18"/>
      <c r="G27" s="18"/>
      <c r="H27" s="18"/>
      <c r="I27" s="18"/>
    </row>
    <row r="28" spans="1:9" ht="24" customHeight="1">
      <c r="A28" s="18"/>
      <c r="B28" s="18"/>
      <c r="C28" s="18"/>
      <c r="D28" s="18"/>
      <c r="E28" s="18"/>
      <c r="F28" s="18"/>
      <c r="G28" s="18"/>
      <c r="H28" s="18"/>
      <c r="I28" s="18"/>
    </row>
    <row r="29" spans="1:9" ht="24" customHeight="1">
      <c r="A29" s="18"/>
      <c r="B29" s="18"/>
      <c r="C29" s="18"/>
      <c r="D29" s="18"/>
      <c r="E29" s="18"/>
      <c r="F29" s="18"/>
      <c r="G29" s="18"/>
      <c r="H29" s="18"/>
      <c r="I29" s="18"/>
    </row>
    <row r="30" spans="1:9" ht="24" customHeight="1">
      <c r="A30" s="18"/>
      <c r="B30" s="18"/>
      <c r="C30" s="18"/>
      <c r="D30" s="18"/>
      <c r="E30" s="18"/>
      <c r="F30" s="18"/>
      <c r="G30" s="18"/>
      <c r="H30" s="18"/>
      <c r="I30" s="18"/>
    </row>
    <row r="31" spans="1:9" ht="24" customHeight="1">
      <c r="A31" s="18"/>
      <c r="B31" s="18"/>
      <c r="C31" s="18"/>
      <c r="D31" s="18"/>
      <c r="E31" s="18"/>
      <c r="F31" s="18"/>
      <c r="G31" s="18"/>
      <c r="H31" s="18"/>
      <c r="I31" s="18"/>
    </row>
    <row r="32" spans="1:9" ht="24" customHeight="1">
      <c r="A32" s="18"/>
      <c r="B32" s="18"/>
      <c r="C32" s="18"/>
      <c r="D32" s="18"/>
      <c r="E32" s="18"/>
      <c r="F32" s="18"/>
      <c r="G32" s="18"/>
      <c r="H32" s="18"/>
      <c r="I32" s="18"/>
    </row>
    <row r="33" spans="1:9" ht="24" customHeight="1">
      <c r="A33" s="18"/>
      <c r="B33" s="18"/>
      <c r="C33" s="18"/>
      <c r="D33" s="18"/>
      <c r="E33" s="18"/>
      <c r="F33" s="18"/>
      <c r="G33" s="18"/>
      <c r="H33" s="18"/>
      <c r="I33" s="18"/>
    </row>
    <row r="34" spans="1:9" ht="24" customHeight="1">
      <c r="A34" s="18"/>
      <c r="B34" s="18"/>
      <c r="C34" s="18"/>
      <c r="D34" s="18"/>
      <c r="E34" s="18"/>
      <c r="F34" s="18"/>
      <c r="G34" s="18"/>
      <c r="H34" s="18"/>
      <c r="I34" s="18"/>
    </row>
    <row r="35" spans="1:9" ht="24" customHeight="1">
      <c r="A35" s="18"/>
      <c r="B35" s="18"/>
      <c r="C35" s="18"/>
      <c r="D35" s="18"/>
      <c r="E35" s="18"/>
      <c r="F35" s="18"/>
      <c r="G35" s="18"/>
      <c r="H35" s="18"/>
      <c r="I35" s="18"/>
    </row>
    <row r="36" spans="1:9" ht="24" customHeight="1">
      <c r="A36" s="18"/>
      <c r="B36" s="18"/>
      <c r="C36" s="18"/>
      <c r="D36" s="18"/>
      <c r="E36" s="18"/>
      <c r="F36" s="18"/>
      <c r="G36" s="18"/>
      <c r="H36" s="18"/>
      <c r="I36" s="18"/>
    </row>
    <row r="37" spans="1:9" ht="24" customHeight="1">
      <c r="A37" s="18"/>
      <c r="B37" s="18"/>
      <c r="C37" s="18"/>
      <c r="D37" s="18"/>
      <c r="E37" s="18"/>
      <c r="F37" s="18"/>
      <c r="G37" s="18"/>
      <c r="H37" s="18"/>
      <c r="I37" s="18"/>
    </row>
    <row r="38" spans="1:9" ht="24" customHeight="1">
      <c r="A38" s="18"/>
      <c r="B38" s="18"/>
      <c r="C38" s="18"/>
      <c r="D38" s="18"/>
      <c r="E38" s="18"/>
      <c r="F38" s="18"/>
      <c r="G38" s="18"/>
      <c r="H38" s="18"/>
      <c r="I38" s="18"/>
    </row>
    <row r="39" spans="1:9" ht="24" customHeight="1">
      <c r="A39" s="18"/>
      <c r="B39" s="18"/>
      <c r="C39" s="18"/>
      <c r="D39" s="18"/>
      <c r="E39" s="18"/>
      <c r="F39" s="18"/>
      <c r="G39" s="18"/>
      <c r="H39" s="18"/>
      <c r="I39" s="18"/>
    </row>
    <row r="40" spans="1:9" ht="24" customHeight="1">
      <c r="A40" s="18"/>
      <c r="B40" s="18"/>
      <c r="C40" s="18"/>
      <c r="D40" s="18"/>
      <c r="E40" s="18"/>
      <c r="F40" s="18"/>
      <c r="G40" s="18"/>
      <c r="H40" s="18"/>
      <c r="I40" s="18"/>
    </row>
    <row r="41" spans="1:9" ht="24" customHeight="1">
      <c r="A41" s="18"/>
      <c r="B41" s="18"/>
      <c r="C41" s="18"/>
      <c r="D41" s="18"/>
      <c r="E41" s="18"/>
      <c r="F41" s="18"/>
      <c r="G41" s="18"/>
      <c r="H41" s="18"/>
      <c r="I41" s="18"/>
    </row>
    <row r="42" spans="1:9" ht="24" customHeight="1">
      <c r="A42" s="18"/>
      <c r="B42" s="18"/>
      <c r="C42" s="18"/>
      <c r="D42" s="18"/>
      <c r="E42" s="18"/>
      <c r="F42" s="18"/>
      <c r="G42" s="18"/>
      <c r="H42" s="18"/>
      <c r="I42" s="18"/>
    </row>
    <row r="43" spans="1:9" ht="24" customHeight="1">
      <c r="A43" s="18"/>
      <c r="B43" s="18"/>
      <c r="C43" s="18"/>
      <c r="D43" s="18"/>
      <c r="E43" s="18"/>
      <c r="F43" s="18"/>
      <c r="G43" s="18"/>
      <c r="H43" s="18"/>
      <c r="I43" s="18"/>
    </row>
    <row r="44" spans="1:9" ht="24" customHeight="1">
      <c r="A44" s="18"/>
      <c r="B44" s="18"/>
      <c r="C44" s="18"/>
      <c r="D44" s="18"/>
      <c r="E44" s="18"/>
      <c r="F44" s="18"/>
      <c r="G44" s="18"/>
      <c r="H44" s="18"/>
      <c r="I44" s="18"/>
    </row>
    <row r="45" spans="1:9" ht="24" customHeight="1">
      <c r="A45" s="18"/>
      <c r="B45" s="18"/>
      <c r="C45" s="18"/>
      <c r="D45" s="18"/>
      <c r="E45" s="18"/>
      <c r="F45" s="18"/>
      <c r="G45" s="18"/>
      <c r="H45" s="18"/>
      <c r="I45" s="18"/>
    </row>
    <row r="46" spans="1:9" ht="24" customHeight="1">
      <c r="A46" s="18"/>
      <c r="B46" s="18"/>
      <c r="C46" s="18"/>
      <c r="D46" s="18"/>
      <c r="E46" s="18"/>
      <c r="F46" s="18"/>
      <c r="G46" s="18"/>
      <c r="H46" s="18"/>
      <c r="I46" s="18"/>
    </row>
    <row r="47" spans="1:9" ht="24" customHeight="1">
      <c r="A47" s="18"/>
      <c r="B47" s="18"/>
      <c r="C47" s="18"/>
      <c r="D47" s="18"/>
      <c r="E47" s="18"/>
      <c r="F47" s="18"/>
      <c r="G47" s="18"/>
      <c r="H47" s="18"/>
      <c r="I47" s="18"/>
    </row>
    <row r="48" spans="1:9" ht="24" customHeight="1">
      <c r="A48" s="18"/>
      <c r="B48" s="18"/>
      <c r="C48" s="18"/>
      <c r="D48" s="18"/>
      <c r="E48" s="18"/>
      <c r="F48" s="18"/>
      <c r="G48" s="18"/>
      <c r="H48" s="18"/>
      <c r="I48" s="18"/>
    </row>
    <row r="49" spans="1:9" ht="24" customHeight="1">
      <c r="A49" s="18"/>
      <c r="B49" s="18"/>
      <c r="C49" s="18"/>
      <c r="D49" s="18"/>
      <c r="E49" s="18"/>
      <c r="F49" s="18"/>
      <c r="G49" s="18"/>
      <c r="H49" s="18"/>
      <c r="I49" s="18"/>
    </row>
    <row r="50" spans="1:9" ht="24" customHeight="1">
      <c r="A50" s="18"/>
      <c r="B50" s="18"/>
      <c r="C50" s="18"/>
      <c r="D50" s="18"/>
      <c r="E50" s="18"/>
      <c r="F50" s="18"/>
      <c r="G50" s="18"/>
      <c r="H50" s="18"/>
      <c r="I50" s="18"/>
    </row>
    <row r="51" spans="1:9" ht="24" customHeight="1">
      <c r="A51" s="18"/>
      <c r="B51" s="18"/>
      <c r="C51" s="18"/>
      <c r="D51" s="18"/>
      <c r="E51" s="18"/>
      <c r="F51" s="18"/>
      <c r="G51" s="18"/>
      <c r="H51" s="18"/>
      <c r="I51" s="18"/>
    </row>
    <row r="54" spans="1:9">
      <c r="A54" s="28" t="s">
        <v>758</v>
      </c>
      <c r="B54" s="24"/>
      <c r="C54" s="24"/>
      <c r="D54" s="24"/>
      <c r="E54" s="24"/>
      <c r="F54" s="24"/>
      <c r="G54" s="24"/>
      <c r="H54" s="24"/>
      <c r="I54" s="24"/>
    </row>
    <row r="55" spans="1:9" ht="28">
      <c r="A55" s="15" t="s">
        <v>2</v>
      </c>
      <c r="B55" s="19" t="s">
        <v>759</v>
      </c>
    </row>
    <row r="56" spans="1:9" ht="28">
      <c r="A56" s="15" t="s">
        <v>15</v>
      </c>
      <c r="B56" s="19" t="s">
        <v>760</v>
      </c>
    </row>
    <row r="57" spans="1:9">
      <c r="A57" s="15" t="s">
        <v>27</v>
      </c>
      <c r="B57" s="19" t="s">
        <v>761</v>
      </c>
    </row>
    <row r="58" spans="1:9">
      <c r="A58" s="15" t="s">
        <v>39</v>
      </c>
      <c r="B58" s="19" t="s">
        <v>762</v>
      </c>
    </row>
  </sheetData>
  <mergeCells count="4">
    <mergeCell ref="A1:I1"/>
    <mergeCell ref="A2:I2"/>
    <mergeCell ref="A4:D4"/>
    <mergeCell ref="A54:I54"/>
  </mergeCells>
  <phoneticPr fontId="8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E00-000000000000}">
          <x14:formula1>
            <xm:f>_Lists!$M$2:$M$7</xm:f>
          </x14:formula1>
          <xm:sqref>C12:C51</xm:sqref>
        </x14:dataValidation>
        <x14:dataValidation type="list" xr:uid="{00000000-0002-0000-0E00-000001000000}">
          <x14:formula1>
            <xm:f>_Lists!$A$2:$A$27</xm:f>
          </x14:formula1>
          <xm:sqref>D12:D51</xm:sqref>
        </x14:dataValidation>
        <x14:dataValidation type="list" xr:uid="{00000000-0002-0000-0E00-000002000000}">
          <x14:formula1>
            <xm:f>_Lists!$C$2:$C$6</xm:f>
          </x14:formula1>
          <xm:sqref>E12:E51</xm:sqref>
        </x14:dataValidation>
        <x14:dataValidation type="list" xr:uid="{00000000-0002-0000-0E00-000003000000}">
          <x14:formula1>
            <xm:f>_Lists!$E$2:$E$3</xm:f>
          </x14:formula1>
          <xm:sqref>I12:I51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_Lists</vt:lpstr>
      <vt:lpstr>Update_Guide</vt:lpstr>
      <vt:lpstr>Review_Index</vt:lpstr>
      <vt:lpstr>Workflow_63_Actions</vt:lpstr>
      <vt:lpstr>Global_Dashboard</vt:lpstr>
      <vt:lpstr>pilot-01 Caffeine</vt:lpstr>
      <vt:lpstr>pilot-02 DMARDs RA</vt:lpstr>
      <vt:lpstr>phase1-01 BP Targets</vt:lpstr>
      <vt:lpstr>phase1-02 Psoriasis</vt:lpstr>
      <vt:lpstr>phase1-03 Fruit &amp; Veg</vt:lpstr>
      <vt:lpstr>phase1-04 Chlamydia</vt:lpstr>
      <vt:lpstr>phase1-05 Review 5 TBD</vt:lpstr>
      <vt:lpstr>phase2-01 Phase 2 Batch</vt:lpstr>
      <vt:lpstr>Workflow_Master</vt:lpstr>
      <vt:lpstr>New_Reviews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 Kishore Pandalaneni</dc:creator>
  <cp:lastModifiedBy>Krishna Kishore Pandalaneni</cp:lastModifiedBy>
  <dcterms:created xsi:type="dcterms:W3CDTF">2026-05-27T01:47:03Z</dcterms:created>
  <dcterms:modified xsi:type="dcterms:W3CDTF">2026-05-27T02:22:39Z</dcterms:modified>
</cp:coreProperties>
</file>