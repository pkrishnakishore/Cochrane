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worksheets/sheet7.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worksheets/sheet8.xml" ContentType="application/vnd.openxmlformats-officedocument.spreadsheetml.worksheet+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worksheets/sheet9.xml" ContentType="application/vnd.openxmlformats-officedocument.spreadsheetml.worksheet+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worksheets/sheet10.xml" ContentType="application/vnd.openxmlformats-officedocument.spreadsheetml.worksheet+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worksheets/sheet11.xml" ContentType="application/vnd.openxmlformats-officedocument.spreadsheetml.worksheet+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worksheets/sheet14.xml" ContentType="application/vnd.openxmlformats-officedocument.spreadsheetml.worksheet+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worksheets/sheet15.xml" ContentType="application/vnd.openxmlformats-officedocument.spreadsheetml.worksheet+xml"/>
  <Override PartName="/xl/tables/table70.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tables/table71.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850" firstSheet="0" activeTab="2" autoFilterDateGrouping="1"/>
  </bookViews>
  <sheets>
    <sheet xmlns:r="http://schemas.openxmlformats.org/officeDocument/2006/relationships" name="_Lists" sheetId="1" state="visible" r:id="rId1"/>
    <sheet xmlns:r="http://schemas.openxmlformats.org/officeDocument/2006/relationships" name="Update_Guide" sheetId="2" state="visible" r:id="rId2"/>
    <sheet xmlns:r="http://schemas.openxmlformats.org/officeDocument/2006/relationships" name="Review_Index" sheetId="3" state="visible" r:id="rId3"/>
    <sheet xmlns:r="http://schemas.openxmlformats.org/officeDocument/2006/relationships" name="Workflow_63_Actions" sheetId="4" state="visible" r:id="rId4"/>
    <sheet xmlns:r="http://schemas.openxmlformats.org/officeDocument/2006/relationships" name="Global_Dashboard" sheetId="5" state="visible" r:id="rId5"/>
    <sheet xmlns:r="http://schemas.openxmlformats.org/officeDocument/2006/relationships" name="pilot-01 Caffeine" sheetId="6" state="visible" r:id="rId6"/>
    <sheet xmlns:r="http://schemas.openxmlformats.org/officeDocument/2006/relationships" name="pilot-02 DMARDs RA" sheetId="7" state="visible" r:id="rId7"/>
    <sheet xmlns:r="http://schemas.openxmlformats.org/officeDocument/2006/relationships" name="phase1-01 BP Targets" sheetId="8" state="visible" r:id="rId8"/>
    <sheet xmlns:r="http://schemas.openxmlformats.org/officeDocument/2006/relationships" name="phase1-02 Psoriasis" sheetId="9" state="visible" r:id="rId9"/>
    <sheet xmlns:r="http://schemas.openxmlformats.org/officeDocument/2006/relationships" name="phase1-03 Fruit &amp; Veg" sheetId="10" state="visible" r:id="rId10"/>
    <sheet xmlns:r="http://schemas.openxmlformats.org/officeDocument/2006/relationships" name="phase1-04 Med Adherence" sheetId="11" state="visible" r:id="rId11"/>
    <sheet xmlns:r="http://schemas.openxmlformats.org/officeDocument/2006/relationships" name="Resources" sheetId="12" state="visible" r:id="rId12"/>
    <sheet xmlns:r="http://schemas.openxmlformats.org/officeDocument/2006/relationships" name="phase1-05 Vitamin C" sheetId="13" state="visible" r:id="rId13"/>
    <sheet xmlns:r="http://schemas.openxmlformats.org/officeDocument/2006/relationships" name="phase2-01 Phase 2 Batch" sheetId="14" state="visible" r:id="rId14"/>
    <sheet xmlns:r="http://schemas.openxmlformats.org/officeDocument/2006/relationships" name="New_Reviews" sheetId="15" state="visible" r:id="rId15"/>
    <sheet xmlns:r="http://schemas.openxmlformats.org/officeDocument/2006/relationships" name="Workflow_Master" sheetId="16" state="visible" r:id="rId16"/>
    <sheet xmlns:r="http://schemas.openxmlformats.org/officeDocument/2006/relationships" name="Upcoming_Meetings" sheetId="17" state="visible" r:id="rId17"/>
    <sheet xmlns:r="http://schemas.openxmlformats.org/officeDocument/2006/relationships" name="phase1-06 Probiotics" sheetId="18" state="visible" r:id="rId18"/>
    <sheet xmlns:r="http://schemas.openxmlformats.org/officeDocument/2006/relationships" name="phase1-07 Human Milk" sheetId="19" state="visible" r:id="rId19"/>
    <sheet xmlns:r="http://schemas.openxmlformats.org/officeDocument/2006/relationships" name="phase1-08 LNS" sheetId="20" state="visible" r:id="rId20"/>
  </sheets>
  <definedNames/>
  <calcPr calcId="191029" fullCalcOnLoad="1"/>
</workbook>
</file>

<file path=xl/styles.xml><?xml version="1.0" encoding="utf-8"?>
<styleSheet xmlns="http://schemas.openxmlformats.org/spreadsheetml/2006/main">
  <numFmts count="1">
    <numFmt numFmtId="164" formatCode="yyyy-mm-dd h:mm:ss"/>
  </numFmts>
  <fonts count="9">
    <font>
      <name val="Carlito"/>
      <sz val="11"/>
    </font>
    <font>
      <name val="Carlito"/>
      <b val="1"/>
      <color rgb="FFFFFFFF"/>
      <sz val="11"/>
    </font>
    <font>
      <name val="Carlito"/>
      <b val="1"/>
      <color rgb="FFFFFFFF"/>
      <sz val="14"/>
    </font>
    <font>
      <name val="Carlito"/>
      <b val="1"/>
      <color rgb="FF0F172A"/>
      <sz val="11"/>
    </font>
    <font>
      <name val="Carlito"/>
      <i val="1"/>
      <color rgb="FF475569"/>
      <sz val="11"/>
    </font>
    <font>
      <name val="Carlito"/>
      <b val="1"/>
      <color rgb="FF111827"/>
      <sz val="11"/>
    </font>
    <font>
      <name val="Carlito"/>
      <b val="1"/>
      <sz val="11"/>
    </font>
    <font>
      <name val="Carlito"/>
      <color rgb="FF111827"/>
      <sz val="11"/>
    </font>
    <font>
      <name val="Carlito"/>
      <b val="1"/>
      <color rgb="FFFFFFFF"/>
      <sz val="11"/>
    </font>
  </fonts>
  <fills count="11">
    <fill>
      <patternFill/>
    </fill>
    <fill>
      <patternFill patternType="gray125"/>
    </fill>
    <fill>
      <patternFill patternType="solid">
        <fgColor rgb="FF14213D"/>
      </patternFill>
    </fill>
    <fill>
      <patternFill patternType="solid">
        <fgColor rgb="FFEEF2F6"/>
      </patternFill>
    </fill>
    <fill>
      <patternFill patternType="solid">
        <fgColor rgb="FFEAF0F7"/>
      </patternFill>
    </fill>
    <fill>
      <patternFill patternType="solid">
        <fgColor rgb="FF111827"/>
      </patternFill>
    </fill>
    <fill>
      <patternFill patternType="solid">
        <fgColor rgb="FF111827"/>
      </patternFill>
    </fill>
    <fill>
      <patternFill patternType="solid">
        <fgColor rgb="FFF3F6FA"/>
      </patternFill>
    </fill>
    <fill>
      <patternFill patternType="solid">
        <fgColor rgb="FFE8EEF5"/>
      </patternFill>
    </fill>
    <fill>
      <patternFill patternType="solid">
        <fgColor rgb="FFF8FAFC"/>
      </patternFill>
    </fill>
    <fill>
      <patternFill patternType="solid">
        <fgColor rgb="FF14213D"/>
      </patternFill>
    </fill>
  </fills>
  <borders count="2">
    <border>
      <left/>
      <right/>
      <top/>
      <bottom/>
      <diagonal/>
    </border>
    <border>
      <left style="thin">
        <color rgb="FFD9E1EA"/>
      </left>
      <right style="thin">
        <color rgb="FFD9E1EA"/>
      </right>
      <top style="thin">
        <color rgb="FFD9E1EA"/>
      </top>
      <bottom style="thin">
        <color rgb="FFD9E1EA"/>
      </bottom>
      <diagonal/>
    </border>
  </borders>
  <cellStyleXfs count="1">
    <xf numFmtId="0" fontId="0" fillId="0" borderId="0"/>
  </cellStyleXfs>
  <cellXfs count="34">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vertical="center"/>
    </xf>
    <xf numFmtId="0" fontId="3" fillId="3" borderId="0" pivotButton="0" quotePrefix="0" xfId="0"/>
    <xf numFmtId="0" fontId="1" fillId="2" borderId="0" applyAlignment="1" pivotButton="0" quotePrefix="0" xfId="0">
      <alignment horizontal="center" vertical="center" wrapText="1"/>
    </xf>
    <xf numFmtId="0" fontId="3" fillId="4" borderId="0" applyAlignment="1" pivotButton="0" quotePrefix="0" xfId="0">
      <alignment vertical="center"/>
    </xf>
    <xf numFmtId="0" fontId="1" fillId="5" borderId="0" applyAlignment="1" pivotButton="0" quotePrefix="0" xfId="0">
      <alignment horizontal="center" vertical="center"/>
    </xf>
    <xf numFmtId="0" fontId="2" fillId="5" borderId="0" applyAlignment="1" pivotButton="0" quotePrefix="0" xfId="0">
      <alignment horizontal="left" vertical="center"/>
    </xf>
    <xf numFmtId="0" fontId="2" fillId="5" borderId="0" applyAlignment="1" pivotButton="0" quotePrefix="0" xfId="0">
      <alignment horizontal="left"/>
    </xf>
    <xf numFmtId="0" fontId="1" fillId="5" borderId="0" pivotButton="0" quotePrefix="0" xfId="0"/>
    <xf numFmtId="0" fontId="1" fillId="5" borderId="0" applyAlignment="1" pivotButton="0" quotePrefix="0" xfId="0">
      <alignment horizontal="center"/>
    </xf>
    <xf numFmtId="0" fontId="2" fillId="5" borderId="0" applyAlignment="1" pivotButton="0" quotePrefix="0" xfId="0">
      <alignment horizontal="left" vertical="center" wrapText="1"/>
    </xf>
    <xf numFmtId="0" fontId="2" fillId="5" borderId="0" applyAlignment="1" pivotButton="0" quotePrefix="0" xfId="0">
      <alignment horizontal="left" wrapText="1"/>
    </xf>
    <xf numFmtId="0" fontId="1" fillId="6" borderId="0" applyAlignment="1" pivotButton="0" quotePrefix="0" xfId="0">
      <alignment horizontal="center"/>
    </xf>
    <xf numFmtId="0" fontId="6" fillId="0" borderId="0" pivotButton="0" quotePrefix="0" xfId="0"/>
    <xf numFmtId="0" fontId="6" fillId="0" borderId="0" applyAlignment="1" pivotButton="0" quotePrefix="0" xfId="0">
      <alignment horizontal="center"/>
    </xf>
    <xf numFmtId="0" fontId="1" fillId="6" borderId="0" applyAlignment="1" pivotButton="0" quotePrefix="0" xfId="0">
      <alignment horizontal="center" vertical="center"/>
    </xf>
    <xf numFmtId="0" fontId="0" fillId="0" borderId="0" applyAlignment="1" pivotButton="0" quotePrefix="0" xfId="0">
      <alignment vertical="top" wrapText="1"/>
    </xf>
    <xf numFmtId="0" fontId="0" fillId="0" borderId="0" applyAlignment="1" pivotButton="0" quotePrefix="0" xfId="0">
      <alignment wrapText="1"/>
    </xf>
    <xf numFmtId="0" fontId="5" fillId="9" borderId="0" applyAlignment="1" pivotButton="0" quotePrefix="0" xfId="0">
      <alignment wrapText="1"/>
    </xf>
    <xf numFmtId="0" fontId="7" fillId="9" borderId="0" applyAlignment="1" pivotButton="0" quotePrefix="0" xfId="0">
      <alignment wrapText="1"/>
    </xf>
    <xf numFmtId="0" fontId="0" fillId="0" borderId="0" pivotButton="0" quotePrefix="0" xfId="0"/>
    <xf numFmtId="14" fontId="0" fillId="0" borderId="0" pivotButton="0" quotePrefix="0" xfId="0"/>
    <xf numFmtId="0" fontId="0" fillId="0" borderId="0" applyAlignment="1" pivotButton="0" quotePrefix="0" xfId="0">
      <alignment vertical="center" wrapText="1"/>
    </xf>
    <xf numFmtId="0" fontId="8" fillId="10" borderId="1" applyAlignment="1" pivotButton="0" quotePrefix="0" xfId="0">
      <alignment horizontal="center" vertical="center"/>
    </xf>
    <xf numFmtId="0" fontId="0" fillId="0" borderId="1" applyAlignment="1" pivotButton="0" quotePrefix="0" xfId="0">
      <alignment vertical="top" wrapText="1"/>
    </xf>
    <xf numFmtId="0" fontId="0" fillId="0" borderId="0" pivotButton="0" quotePrefix="0" xfId="0"/>
    <xf numFmtId="14" fontId="0" fillId="0" borderId="0" applyAlignment="1" pivotButton="0" quotePrefix="0" xfId="0">
      <alignment vertical="center" wrapText="1"/>
    </xf>
    <xf numFmtId="0" fontId="2" fillId="2" borderId="0" applyAlignment="1" pivotButton="0" quotePrefix="0" xfId="0">
      <alignment vertical="center" wrapText="1"/>
    </xf>
    <xf numFmtId="0" fontId="0" fillId="0" borderId="0" pivotButton="0" quotePrefix="0" xfId="0"/>
    <xf numFmtId="0" fontId="2" fillId="6" borderId="0" applyAlignment="1" pivotButton="0" quotePrefix="0" xfId="0">
      <alignment horizontal="left" vertical="center"/>
    </xf>
    <xf numFmtId="0" fontId="5" fillId="8" borderId="0" pivotButton="0" quotePrefix="0" xfId="0"/>
    <xf numFmtId="0" fontId="4" fillId="7" borderId="0" applyAlignment="1" pivotButton="0" quotePrefix="0" xfId="0">
      <alignment wrapText="1"/>
    </xf>
    <xf numFmtId="164" fontId="0" fillId="0" borderId="0" applyAlignment="1" pivotButton="0" quotePrefix="0" xfId="0">
      <alignment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ables/table1.xml><?xml version="1.0" encoding="utf-8"?>
<table xmlns="http://schemas.openxmlformats.org/spreadsheetml/2006/main" id="1" name="ReviewIndexTable" displayName="ReviewIndexTable" ref="A1:N11" headerRowCount="1">
  <tableColumns count="14">
    <tableColumn id="1" name="ReviewID"/>
    <tableColumn id="2" name="ShortName"/>
    <tableColumn id="3" name="ReviewTitle"/>
    <tableColumn id="4" name="Phase"/>
    <tableColumn id="5" name="Status"/>
    <tableColumn id="6" name="Risk"/>
    <tableColumn id="7" name="Tool"/>
    <tableColumn id="8" name="Lead"/>
    <tableColumn id="9" name="CurrentStage"/>
    <tableColumn id="10" name="NextAction"/>
    <tableColumn id="11" name="TargetDate"/>
    <tableColumn id="12" name="Assessment"/>
    <tableColumn id="13" name="DisplayInHTML"/>
    <tableColumn id="14" name="ReviewSheet"/>
  </tableColumns>
  <tableStyleInfo name="TableStyleMedium2" showFirstColumn="0" showLastColumn="0" showRowStripes="1" showColumnStripes="0"/>
</table>
</file>

<file path=xl/tables/table2.xml><?xml version="1.0" encoding="utf-8"?>
<table xmlns="http://schemas.openxmlformats.org/spreadsheetml/2006/main" id="2" name="Workflow63ActionsTable" displayName="Workflow63ActionsTable" ref="A1:G64" headerRowCount="1">
  <tableColumns count="7">
    <tableColumn id="1" name="Workflow Master"/>
    <tableColumn id="2" name="Column1"/>
    <tableColumn id="3" name="Column2"/>
    <tableColumn id="4" name="Column3"/>
    <tableColumn id="5" name="Column4"/>
    <tableColumn id="6" name="Column5"/>
    <tableColumn id="7" name="Column6"/>
  </tableColumns>
  <tableStyleInfo name="TableStyleMedium2" showFirstColumn="0" showLastColumn="0" showRowStripes="1" showColumnStripes="0"/>
</table>
</file>

<file path=xl/tables/table3.xml><?xml version="1.0" encoding="utf-8"?>
<table xmlns="http://schemas.openxmlformats.org/spreadsheetml/2006/main" id="3" name="GlobalPhaseCards" displayName="GlobalPhaseCards" ref="A4:E9" headerRowCount="1">
  <tableColumns count="5">
    <tableColumn id="1" name="PhaseKey"/>
    <tableColumn id="2" name="PhaseLabel"/>
    <tableColumn id="3" name="Window"/>
    <tableColumn id="4" name="Note"/>
    <tableColumn id="5" name="Display"/>
  </tableColumns>
  <tableStyleInfo name="TableStyleMedium2" showFirstColumn="0" showLastColumn="0" showRowStripes="1" showColumnStripes="0"/>
</table>
</file>

<file path=xl/tables/table4.xml><?xml version="1.0" encoding="utf-8"?>
<table xmlns="http://schemas.openxmlformats.org/spreadsheetml/2006/main" id="4" name="GlobalResources" displayName="GlobalResources" ref="A13:H18" headerRowCount="1">
  <tableColumns count="8">
    <tableColumn id="1" name="ResourceID"/>
    <tableColumn id="2" name="Name"/>
    <tableColumn id="3" name="Type"/>
    <tableColumn id="4" name="Owner"/>
    <tableColumn id="5" name="Status"/>
    <tableColumn id="6" name="URL"/>
    <tableColumn id="7" name="Notes"/>
    <tableColumn id="8" name="Display"/>
  </tableColumns>
  <tableStyleInfo name="TableStyleMedium2" showFirstColumn="0" showLastColumn="0" showRowStripes="1" showColumnStripes="0"/>
</table>
</file>

<file path=xl/tables/table5.xml><?xml version="1.0" encoding="utf-8"?>
<table xmlns="http://schemas.openxmlformats.org/spreadsheetml/2006/main" id="5" name="GlobalUpcomingMeetings" displayName="GlobalUpcomingMeetings" ref="A22:H28" headerRowCount="1">
  <tableColumns count="8">
    <tableColumn id="1" name="MeetingID"/>
    <tableColumn id="2" name="Date"/>
    <tableColumn id="3" name="Title"/>
    <tableColumn id="4" name="People"/>
    <tableColumn id="5" name="Purpose"/>
    <tableColumn id="6" name="Status"/>
    <tableColumn id="7" name="Notes"/>
    <tableColumn id="8" name="Display"/>
  </tableColumns>
  <tableStyleInfo name="TableStyleMedium2" showFirstColumn="0" showLastColumn="0" showRowStripes="1" showColumnStripes="0"/>
</table>
</file>

<file path=xl/tables/table6.xml><?xml version="1.0" encoding="utf-8"?>
<table xmlns="http://schemas.openxmlformats.org/spreadsheetml/2006/main" id="6" name="Executive_Caffeine_1" displayName="Executive_Caffeine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7.xml><?xml version="1.0" encoding="utf-8"?>
<table xmlns="http://schemas.openxmlformats.org/spreadsheetml/2006/main" id="7" name="Milestones_Caffeine_2" displayName="Milestones_Caffeine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8.xml><?xml version="1.0" encoding="utf-8"?>
<table xmlns="http://schemas.openxmlformats.org/spreadsheetml/2006/main" id="8" name="Files_Caffeine_3" displayName="Files_Caffeine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9.xml><?xml version="1.0" encoding="utf-8"?>
<table xmlns="http://schemas.openxmlformats.org/spreadsheetml/2006/main" id="9" name="Stages_Caffeine_4" displayName="Stages_Caffeine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0.xml><?xml version="1.0" encoding="utf-8"?>
<table xmlns="http://schemas.openxmlformats.org/spreadsheetml/2006/main" id="10" name="Workflow_Caffeine_5" displayName="Workflow_Caffeine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1.xml><?xml version="1.0" encoding="utf-8"?>
<table xmlns="http://schemas.openxmlformats.org/spreadsheetml/2006/main" id="11" name="Tasks_Caffeine_6" displayName="Tasks_Caffeine_6" ref="A114:K117"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12.xml><?xml version="1.0" encoding="utf-8"?>
<table xmlns="http://schemas.openxmlformats.org/spreadsheetml/2006/main" id="12" name="Comms_Caffeine_7" displayName="Comms_Caffeine_7" ref="A120: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13.xml><?xml version="1.0" encoding="utf-8"?>
<table xmlns="http://schemas.openxmlformats.org/spreadsheetml/2006/main" id="13" name="Critical_Caffeine_8" displayName="Critical_Caffeine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14.xml><?xml version="1.0" encoding="utf-8"?>
<table xmlns="http://schemas.openxmlformats.org/spreadsheetml/2006/main" id="14" name="Executive_DMARDsRA_1" displayName="Executive_DMARDsR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15.xml><?xml version="1.0" encoding="utf-8"?>
<table xmlns="http://schemas.openxmlformats.org/spreadsheetml/2006/main" id="15" name="Milestones_DMARDsRA_2" displayName="Milestones_DMARDsR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16.xml><?xml version="1.0" encoding="utf-8"?>
<table xmlns="http://schemas.openxmlformats.org/spreadsheetml/2006/main" id="16" name="Files_DMARDsRA_3" displayName="Files_DMARDsR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17.xml><?xml version="1.0" encoding="utf-8"?>
<table xmlns="http://schemas.openxmlformats.org/spreadsheetml/2006/main" id="17" name="Stages_DMARDsRA_4" displayName="Stages_DMARDsR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8.xml><?xml version="1.0" encoding="utf-8"?>
<table xmlns="http://schemas.openxmlformats.org/spreadsheetml/2006/main" id="18" name="Workflow_DMARDsRA_5" displayName="Workflow_DMARDsR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9.xml><?xml version="1.0" encoding="utf-8"?>
<table xmlns="http://schemas.openxmlformats.org/spreadsheetml/2006/main" id="19" name="Tasks_DMARDsRA_6" displayName="Tasks_DMARDsRA_6" ref="A114:K116"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0.xml><?xml version="1.0" encoding="utf-8"?>
<table xmlns="http://schemas.openxmlformats.org/spreadsheetml/2006/main" id="20" name="Comms_DMARDsRA_7" displayName="Comms_DMARDsRA_7" ref="A119:M120"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1.xml><?xml version="1.0" encoding="utf-8"?>
<table xmlns="http://schemas.openxmlformats.org/spreadsheetml/2006/main" id="21" name="Critical_DMARDsRA_8" displayName="Critical_DMARDsRA_8" ref="A123:G124"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22.xml><?xml version="1.0" encoding="utf-8"?>
<table xmlns="http://schemas.openxmlformats.org/spreadsheetml/2006/main" id="22" name="Executive_BPTargets_1" displayName="Executive_BPTarget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23.xml><?xml version="1.0" encoding="utf-8"?>
<table xmlns="http://schemas.openxmlformats.org/spreadsheetml/2006/main" id="23" name="Milestones_BPTargets_2" displayName="Milestones_BPTarget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24.xml><?xml version="1.0" encoding="utf-8"?>
<table xmlns="http://schemas.openxmlformats.org/spreadsheetml/2006/main" id="24" name="Files_BPTargets_3" displayName="Files_BPTarget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25.xml><?xml version="1.0" encoding="utf-8"?>
<table xmlns="http://schemas.openxmlformats.org/spreadsheetml/2006/main" id="25" name="Stages_BPTargets_4" displayName="Stages_BPTarget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26.xml><?xml version="1.0" encoding="utf-8"?>
<table xmlns="http://schemas.openxmlformats.org/spreadsheetml/2006/main" id="26" name="Workflow_BPTargets_5" displayName="Workflow_BPTarget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27.xml><?xml version="1.0" encoding="utf-8"?>
<table xmlns="http://schemas.openxmlformats.org/spreadsheetml/2006/main" id="27" name="Tasks_BPTargets_6" displayName="Tasks_BPTargets_6" ref="A114:K122"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8.xml><?xml version="1.0" encoding="utf-8"?>
<table xmlns="http://schemas.openxmlformats.org/spreadsheetml/2006/main" id="28" name="Comms_BPTargets_7" displayName="Comms_BPTargets_7" ref="A129:M135"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9.xml><?xml version="1.0" encoding="utf-8"?>
<table xmlns="http://schemas.openxmlformats.org/spreadsheetml/2006/main" id="29" name="Critical_BPTargets_8" displayName="Critical_BPTargets_8" ref="A143: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0.xml><?xml version="1.0" encoding="utf-8"?>
<table xmlns="http://schemas.openxmlformats.org/spreadsheetml/2006/main" id="30" name="Executive_Psoriasis_1" displayName="Executive_Psoriasi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1.xml><?xml version="1.0" encoding="utf-8"?>
<table xmlns="http://schemas.openxmlformats.org/spreadsheetml/2006/main" id="31" name="Milestones_Psoriasis_2" displayName="Milestones_Psoriasi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32.xml><?xml version="1.0" encoding="utf-8"?>
<table xmlns="http://schemas.openxmlformats.org/spreadsheetml/2006/main" id="32" name="Files_Psoriasis_3" displayName="Files_Psoriasi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33.xml><?xml version="1.0" encoding="utf-8"?>
<table xmlns="http://schemas.openxmlformats.org/spreadsheetml/2006/main" id="33" name="Stages_Psoriasis_4" displayName="Stages_Psoriasi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34.xml><?xml version="1.0" encoding="utf-8"?>
<table xmlns="http://schemas.openxmlformats.org/spreadsheetml/2006/main" id="34" name="Workflow_Psoriasis_5" displayName="Workflow_Psoriasi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35.xml><?xml version="1.0" encoding="utf-8"?>
<table xmlns="http://schemas.openxmlformats.org/spreadsheetml/2006/main" id="35" name="Tasks_Psoriasis_6" displayName="Tasks_Psoriasis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36.xml><?xml version="1.0" encoding="utf-8"?>
<table xmlns="http://schemas.openxmlformats.org/spreadsheetml/2006/main" id="36" name="Comms_Psoriasis_7" displayName="Comms_Psoriasis_7" ref="A129: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37.xml><?xml version="1.0" encoding="utf-8"?>
<table xmlns="http://schemas.openxmlformats.org/spreadsheetml/2006/main" id="37" name="Critical_Psoriasis_8" displayName="Critical_Psoriasis_8" ref="A142: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8.xml><?xml version="1.0" encoding="utf-8"?>
<table xmlns="http://schemas.openxmlformats.org/spreadsheetml/2006/main" id="38" name="Executive_FruitVeg_1" displayName="Executive_FruitVeg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9.xml><?xml version="1.0" encoding="utf-8"?>
<table xmlns="http://schemas.openxmlformats.org/spreadsheetml/2006/main" id="39" name="Milestones_FruitVeg_2" displayName="Milestones_FruitVeg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0.xml><?xml version="1.0" encoding="utf-8"?>
<table xmlns="http://schemas.openxmlformats.org/spreadsheetml/2006/main" id="40" name="Files_FruitVeg_3" displayName="Files_FruitVeg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1.xml><?xml version="1.0" encoding="utf-8"?>
<table xmlns="http://schemas.openxmlformats.org/spreadsheetml/2006/main" id="41" name="Stages_FruitVeg_4" displayName="Stages_FruitVeg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42.xml><?xml version="1.0" encoding="utf-8"?>
<table xmlns="http://schemas.openxmlformats.org/spreadsheetml/2006/main" id="42" name="Workflow_FruitVeg_5" displayName="Workflow_FruitVeg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43.xml><?xml version="1.0" encoding="utf-8"?>
<table xmlns="http://schemas.openxmlformats.org/spreadsheetml/2006/main" id="43" name="Tasks_FruitVeg_6" displayName="Tasks_FruitVeg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44.xml><?xml version="1.0" encoding="utf-8"?>
<table xmlns="http://schemas.openxmlformats.org/spreadsheetml/2006/main" id="44" name="Comms_FruitVeg_7" displayName="Comms_FruitVeg_7" ref="A125: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45.xml><?xml version="1.0" encoding="utf-8"?>
<table xmlns="http://schemas.openxmlformats.org/spreadsheetml/2006/main" id="45" name="Critical_FruitVeg_8" displayName="Critical_FruitVeg_8" ref="A135:G139"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46.xml><?xml version="1.0" encoding="utf-8"?>
<table xmlns="http://schemas.openxmlformats.org/spreadsheetml/2006/main" id="46" name="Executive_Chlamydia_1" displayName="Executive_Chlamydi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47.xml><?xml version="1.0" encoding="utf-8"?>
<table xmlns="http://schemas.openxmlformats.org/spreadsheetml/2006/main" id="47" name="Milestones_Chlamydia_2" displayName="Milestones_Chlamydi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8.xml><?xml version="1.0" encoding="utf-8"?>
<table xmlns="http://schemas.openxmlformats.org/spreadsheetml/2006/main" id="48" name="Files_Chlamydia_3" displayName="Files_Chlamydi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9.xml><?xml version="1.0" encoding="utf-8"?>
<table xmlns="http://schemas.openxmlformats.org/spreadsheetml/2006/main" id="49" name="Stages_Chlamydia_4" displayName="Stages_Chlamydi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0.xml><?xml version="1.0" encoding="utf-8"?>
<table xmlns="http://schemas.openxmlformats.org/spreadsheetml/2006/main" id="50" name="Workflow_Chlamydia_5" displayName="Workflow_Chlamydi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1.xml><?xml version="1.0" encoding="utf-8"?>
<table xmlns="http://schemas.openxmlformats.org/spreadsheetml/2006/main" id="51" name="Tasks_Chlamydia_6" displayName="Tasks_Chlamydia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52.xml><?xml version="1.0" encoding="utf-8"?>
<table xmlns="http://schemas.openxmlformats.org/spreadsheetml/2006/main" id="52" name="Comms_Chlamydia_7" displayName="Comms_Chlamydia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53.xml><?xml version="1.0" encoding="utf-8"?>
<table xmlns="http://schemas.openxmlformats.org/spreadsheetml/2006/main" id="53" name="Critical_Chlamydia_8" displayName="Critical_Chlamydia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54.xml><?xml version="1.0" encoding="utf-8"?>
<table xmlns="http://schemas.openxmlformats.org/spreadsheetml/2006/main" id="54" name="Executive_Review5TBD_1" displayName="Executive_Review5TBD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55.xml><?xml version="1.0" encoding="utf-8"?>
<table xmlns="http://schemas.openxmlformats.org/spreadsheetml/2006/main" id="55" name="Milestones_Review5TBD_2" displayName="Milestones_Review5TBD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56.xml><?xml version="1.0" encoding="utf-8"?>
<table xmlns="http://schemas.openxmlformats.org/spreadsheetml/2006/main" id="56" name="Files_Review5TBD_3" displayName="Files_Review5TBD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57.xml><?xml version="1.0" encoding="utf-8"?>
<table xmlns="http://schemas.openxmlformats.org/spreadsheetml/2006/main" id="57" name="Stages_Review5TBD_4" displayName="Stages_Review5TBD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8.xml><?xml version="1.0" encoding="utf-8"?>
<table xmlns="http://schemas.openxmlformats.org/spreadsheetml/2006/main" id="58" name="Workflow_Review5TBD_5" displayName="Workflow_Review5TBD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9.xml><?xml version="1.0" encoding="utf-8"?>
<table xmlns="http://schemas.openxmlformats.org/spreadsheetml/2006/main" id="59" name="Tasks_Review5TBD_6" displayName="Tasks_Review5TBD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0.xml><?xml version="1.0" encoding="utf-8"?>
<table xmlns="http://schemas.openxmlformats.org/spreadsheetml/2006/main" id="60" name="Comms_Review5TBD_7" displayName="Comms_Review5TBD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1.xml><?xml version="1.0" encoding="utf-8"?>
<table xmlns="http://schemas.openxmlformats.org/spreadsheetml/2006/main" id="61" name="Critical_Review5TBD_8" displayName="Critical_Review5TBD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62.xml><?xml version="1.0" encoding="utf-8"?>
<table xmlns="http://schemas.openxmlformats.org/spreadsheetml/2006/main" id="62" name="Executive_Phase2Batch_1" displayName="Executive_Phase2Batch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63.xml><?xml version="1.0" encoding="utf-8"?>
<table xmlns="http://schemas.openxmlformats.org/spreadsheetml/2006/main" id="63" name="Milestones_Phase2Batch_2" displayName="Milestones_Phase2Batch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64.xml><?xml version="1.0" encoding="utf-8"?>
<table xmlns="http://schemas.openxmlformats.org/spreadsheetml/2006/main" id="64" name="Files_Phase2Batch_3" displayName="Files_Phase2Batch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65.xml><?xml version="1.0" encoding="utf-8"?>
<table xmlns="http://schemas.openxmlformats.org/spreadsheetml/2006/main" id="65" name="Stages_Phase2Batch_4" displayName="Stages_Phase2Batch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66.xml><?xml version="1.0" encoding="utf-8"?>
<table xmlns="http://schemas.openxmlformats.org/spreadsheetml/2006/main" id="66" name="Workflow_Phase2Batch_5" displayName="Workflow_Phase2Batch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67.xml><?xml version="1.0" encoding="utf-8"?>
<table xmlns="http://schemas.openxmlformats.org/spreadsheetml/2006/main" id="67" name="Tasks_Phase2Batch_6" displayName="Tasks_Phase2Batch_6" ref="A114:K115"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8.xml><?xml version="1.0" encoding="utf-8"?>
<table xmlns="http://schemas.openxmlformats.org/spreadsheetml/2006/main" id="68" name="Comms_Phase2Batch_7" displayName="Comms_Phase2Batch_7" ref="A118:M119"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9.xml><?xml version="1.0" encoding="utf-8"?>
<table xmlns="http://schemas.openxmlformats.org/spreadsheetml/2006/main" id="69" name="Critical_Phase2Batch_8" displayName="Critical_Phase2Batch_8" ref="A122:G123"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70.xml><?xml version="1.0" encoding="utf-8"?>
<table xmlns="http://schemas.openxmlformats.org/spreadsheetml/2006/main" id="70" name="CandidatePipeline" displayName="CandidatePipeline" ref="A11:J29" headerRowCount="1">
  <tableColumns count="9">
    <tableColumn id="1" name="CandidateID"/>
    <tableColumn id="2" name="ReviewName"/>
    <tableColumn id="3" name="Category"/>
    <tableColumn id="4" name="Status"/>
    <tableColumn id="5" name="TargetPhase"/>
    <tableColumn id="6" name="Lead/Contact"/>
    <tableColumn id="7" name="ExpectedTiming"/>
    <tableColumn id="8" name="Remarks"/>
    <tableColumn id="9" name="MoveToFullSheet"/>
  </tableColumns>
  <tableStyleInfo name="TableStyleMedium2" showFirstColumn="0" showLastColumn="0" showRowStripes="1" showColumnStripes="0"/>
</table>
</file>

<file path=xl/tables/table71.xml><?xml version="1.0" encoding="utf-8"?>
<table xmlns="http://schemas.openxmlformats.org/spreadsheetml/2006/main" id="71" name="UpcomingMeetingsTable" displayName="UpcomingMeetingsTable" ref="A1:M6" headerRowCount="1">
  <autoFilter ref="A1:M6"/>
  <tableColumns count="13">
    <tableColumn id="1" name="MeetingID"/>
    <tableColumn id="2" name="Date"/>
    <tableColumn id="3" name="ETTime"/>
    <tableColumn id="4" name="UKTime"/>
    <tableColumn id="5" name="Title"/>
    <tableColumn id="6" name="Purpose"/>
    <tableColumn id="7" name="People"/>
    <tableColumn id="8" name="Owner"/>
    <tableColumn id="9" name="LinkedPhase"/>
    <tableColumn id="10" name="Status"/>
    <tableColumn id="11" name="LinkedReviewID"/>
    <tableColumn id="12" name="MeetingLink"/>
    <tableColumn id="13" name="Display"/>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 Type="http://schemas.openxmlformats.org/officeDocument/2006/relationships/table" Target="/xl/tables/table4.xml" Id="rId2"/><Relationship Type="http://schemas.openxmlformats.org/officeDocument/2006/relationships/table" Target="/xl/tables/table5.xml" Id="rId3"/></Relationships>
</file>

<file path=xl/worksheets/_rels/sheet6.xml.rels><Relationships xmlns="http://schemas.openxmlformats.org/package/2006/relationships"><Relationship Type="http://schemas.openxmlformats.org/officeDocument/2006/relationships/table" Target="/xl/tables/table6.xml" Id="rId1"/><Relationship Type="http://schemas.openxmlformats.org/officeDocument/2006/relationships/table" Target="/xl/tables/table7.xml" Id="rId2"/><Relationship Type="http://schemas.openxmlformats.org/officeDocument/2006/relationships/table" Target="/xl/tables/table8.xml" Id="rId3"/><Relationship Type="http://schemas.openxmlformats.org/officeDocument/2006/relationships/table" Target="/xl/tables/table9.xml" Id="rId4"/><Relationship Type="http://schemas.openxmlformats.org/officeDocument/2006/relationships/table" Target="/xl/tables/table10.xml" Id="rId5"/><Relationship Type="http://schemas.openxmlformats.org/officeDocument/2006/relationships/table" Target="/xl/tables/table11.xml" Id="rId6"/><Relationship Type="http://schemas.openxmlformats.org/officeDocument/2006/relationships/table" Target="/xl/tables/table12.xml" Id="rId7"/><Relationship Type="http://schemas.openxmlformats.org/officeDocument/2006/relationships/table" Target="/xl/tables/table13.xml" Id="rId8"/></Relationships>
</file>

<file path=xl/worksheets/_rels/sheet7.xml.rels><Relationships xmlns="http://schemas.openxmlformats.org/package/2006/relationships"><Relationship Type="http://schemas.openxmlformats.org/officeDocument/2006/relationships/table" Target="/xl/tables/table14.xml" Id="rId1"/><Relationship Type="http://schemas.openxmlformats.org/officeDocument/2006/relationships/table" Target="/xl/tables/table15.xml" Id="rId2"/><Relationship Type="http://schemas.openxmlformats.org/officeDocument/2006/relationships/table" Target="/xl/tables/table16.xml" Id="rId3"/><Relationship Type="http://schemas.openxmlformats.org/officeDocument/2006/relationships/table" Target="/xl/tables/table17.xml" Id="rId4"/><Relationship Type="http://schemas.openxmlformats.org/officeDocument/2006/relationships/table" Target="/xl/tables/table18.xml" Id="rId5"/><Relationship Type="http://schemas.openxmlformats.org/officeDocument/2006/relationships/table" Target="/xl/tables/table19.xml" Id="rId6"/><Relationship Type="http://schemas.openxmlformats.org/officeDocument/2006/relationships/table" Target="/xl/tables/table20.xml" Id="rId7"/><Relationship Type="http://schemas.openxmlformats.org/officeDocument/2006/relationships/table" Target="/xl/tables/table21.xml" Id="rId8"/></Relationships>
</file>

<file path=xl/worksheets/_rels/sheet8.xml.rels><Relationships xmlns="http://schemas.openxmlformats.org/package/2006/relationships"><Relationship Type="http://schemas.openxmlformats.org/officeDocument/2006/relationships/table" Target="/xl/tables/table22.xml" Id="rId1"/><Relationship Type="http://schemas.openxmlformats.org/officeDocument/2006/relationships/table" Target="/xl/tables/table23.xml" Id="rId2"/><Relationship Type="http://schemas.openxmlformats.org/officeDocument/2006/relationships/table" Target="/xl/tables/table24.xml" Id="rId3"/><Relationship Type="http://schemas.openxmlformats.org/officeDocument/2006/relationships/table" Target="/xl/tables/table25.xml" Id="rId4"/><Relationship Type="http://schemas.openxmlformats.org/officeDocument/2006/relationships/table" Target="/xl/tables/table26.xml" Id="rId5"/><Relationship Type="http://schemas.openxmlformats.org/officeDocument/2006/relationships/table" Target="/xl/tables/table27.xml" Id="rId6"/><Relationship Type="http://schemas.openxmlformats.org/officeDocument/2006/relationships/table" Target="/xl/tables/table28.xml" Id="rId7"/><Relationship Type="http://schemas.openxmlformats.org/officeDocument/2006/relationships/table" Target="/xl/tables/table29.xml" Id="rId8"/></Relationships>
</file>

<file path=xl/worksheets/_rels/sheet9.xml.rels><Relationships xmlns="http://schemas.openxmlformats.org/package/2006/relationships"><Relationship Type="http://schemas.openxmlformats.org/officeDocument/2006/relationships/table" Target="/xl/tables/table30.xml" Id="rId1"/><Relationship Type="http://schemas.openxmlformats.org/officeDocument/2006/relationships/table" Target="/xl/tables/table31.xml" Id="rId2"/><Relationship Type="http://schemas.openxmlformats.org/officeDocument/2006/relationships/table" Target="/xl/tables/table32.xml" Id="rId3"/><Relationship Type="http://schemas.openxmlformats.org/officeDocument/2006/relationships/table" Target="/xl/tables/table33.xml" Id="rId4"/><Relationship Type="http://schemas.openxmlformats.org/officeDocument/2006/relationships/table" Target="/xl/tables/table34.xml" Id="rId5"/><Relationship Type="http://schemas.openxmlformats.org/officeDocument/2006/relationships/table" Target="/xl/tables/table35.xml" Id="rId6"/><Relationship Type="http://schemas.openxmlformats.org/officeDocument/2006/relationships/table" Target="/xl/tables/table36.xml" Id="rId7"/><Relationship Type="http://schemas.openxmlformats.org/officeDocument/2006/relationships/table" Target="/xl/tables/table37.xml" Id="rId8"/></Relationships>
</file>

<file path=xl/worksheets/_rels/sheet10.xml.rels><Relationships xmlns="http://schemas.openxmlformats.org/package/2006/relationships"><Relationship Type="http://schemas.openxmlformats.org/officeDocument/2006/relationships/table" Target="/xl/tables/table38.xml" Id="rId1"/><Relationship Type="http://schemas.openxmlformats.org/officeDocument/2006/relationships/table" Target="/xl/tables/table39.xml" Id="rId2"/><Relationship Type="http://schemas.openxmlformats.org/officeDocument/2006/relationships/table" Target="/xl/tables/table40.xml" Id="rId3"/><Relationship Type="http://schemas.openxmlformats.org/officeDocument/2006/relationships/table" Target="/xl/tables/table41.xml" Id="rId4"/><Relationship Type="http://schemas.openxmlformats.org/officeDocument/2006/relationships/table" Target="/xl/tables/table42.xml" Id="rId5"/><Relationship Type="http://schemas.openxmlformats.org/officeDocument/2006/relationships/table" Target="/xl/tables/table43.xml" Id="rId6"/><Relationship Type="http://schemas.openxmlformats.org/officeDocument/2006/relationships/table" Target="/xl/tables/table44.xml" Id="rId7"/><Relationship Type="http://schemas.openxmlformats.org/officeDocument/2006/relationships/table" Target="/xl/tables/table45.xml" Id="rId8"/></Relationships>
</file>

<file path=xl/worksheets/_rels/sheet11.xml.rels><Relationships xmlns="http://schemas.openxmlformats.org/package/2006/relationships"><Relationship Type="http://schemas.openxmlformats.org/officeDocument/2006/relationships/table" Target="/xl/tables/table46.xml" Id="rId1"/><Relationship Type="http://schemas.openxmlformats.org/officeDocument/2006/relationships/table" Target="/xl/tables/table47.xml" Id="rId2"/><Relationship Type="http://schemas.openxmlformats.org/officeDocument/2006/relationships/table" Target="/xl/tables/table48.xml" Id="rId3"/><Relationship Type="http://schemas.openxmlformats.org/officeDocument/2006/relationships/table" Target="/xl/tables/table49.xml" Id="rId4"/><Relationship Type="http://schemas.openxmlformats.org/officeDocument/2006/relationships/table" Target="/xl/tables/table50.xml" Id="rId5"/><Relationship Type="http://schemas.openxmlformats.org/officeDocument/2006/relationships/table" Target="/xl/tables/table51.xml" Id="rId6"/><Relationship Type="http://schemas.openxmlformats.org/officeDocument/2006/relationships/table" Target="/xl/tables/table52.xml" Id="rId7"/><Relationship Type="http://schemas.openxmlformats.org/officeDocument/2006/relationships/table" Target="/xl/tables/table53.xml" Id="rId8"/></Relationships>
</file>

<file path=xl/worksheets/_rels/sheet13.xml.rels><Relationships xmlns="http://schemas.openxmlformats.org/package/2006/relationships"><Relationship Type="http://schemas.openxmlformats.org/officeDocument/2006/relationships/table" Target="/xl/tables/table54.xml" Id="rId1"/><Relationship Type="http://schemas.openxmlformats.org/officeDocument/2006/relationships/table" Target="/xl/tables/table55.xml" Id="rId2"/><Relationship Type="http://schemas.openxmlformats.org/officeDocument/2006/relationships/table" Target="/xl/tables/table56.xml" Id="rId3"/><Relationship Type="http://schemas.openxmlformats.org/officeDocument/2006/relationships/table" Target="/xl/tables/table57.xml" Id="rId4"/><Relationship Type="http://schemas.openxmlformats.org/officeDocument/2006/relationships/table" Target="/xl/tables/table58.xml" Id="rId5"/><Relationship Type="http://schemas.openxmlformats.org/officeDocument/2006/relationships/table" Target="/xl/tables/table59.xml" Id="rId6"/><Relationship Type="http://schemas.openxmlformats.org/officeDocument/2006/relationships/table" Target="/xl/tables/table60.xml" Id="rId7"/><Relationship Type="http://schemas.openxmlformats.org/officeDocument/2006/relationships/table" Target="/xl/tables/table61.xml" Id="rId8"/></Relationships>
</file>

<file path=xl/worksheets/_rels/sheet14.xml.rels><Relationships xmlns="http://schemas.openxmlformats.org/package/2006/relationships"><Relationship Type="http://schemas.openxmlformats.org/officeDocument/2006/relationships/table" Target="/xl/tables/table62.xml" Id="rId1"/><Relationship Type="http://schemas.openxmlformats.org/officeDocument/2006/relationships/table" Target="/xl/tables/table63.xml" Id="rId2"/><Relationship Type="http://schemas.openxmlformats.org/officeDocument/2006/relationships/table" Target="/xl/tables/table64.xml" Id="rId3"/><Relationship Type="http://schemas.openxmlformats.org/officeDocument/2006/relationships/table" Target="/xl/tables/table65.xml" Id="rId4"/><Relationship Type="http://schemas.openxmlformats.org/officeDocument/2006/relationships/table" Target="/xl/tables/table66.xml" Id="rId5"/><Relationship Type="http://schemas.openxmlformats.org/officeDocument/2006/relationships/table" Target="/xl/tables/table67.xml" Id="rId6"/><Relationship Type="http://schemas.openxmlformats.org/officeDocument/2006/relationships/table" Target="/xl/tables/table68.xml" Id="rId7"/><Relationship Type="http://schemas.openxmlformats.org/officeDocument/2006/relationships/table" Target="/xl/tables/table69.xml" Id="rId8"/></Relationships>
</file>

<file path=xl/worksheets/_rels/sheet15.xml.rels><Relationships xmlns="http://schemas.openxmlformats.org/package/2006/relationships"><Relationship Type="http://schemas.openxmlformats.org/officeDocument/2006/relationships/table" Target="/xl/tables/table70.xml" Id="rId1"/></Relationships>
</file>

<file path=xl/worksheets/_rels/sheet17.xml.rels><Relationships xmlns="http://schemas.openxmlformats.org/package/2006/relationships"><Relationship Type="http://schemas.openxmlformats.org/officeDocument/2006/relationships/table" Target="/xl/tables/table71.xml" Id="rId1"/></Relationships>
</file>

<file path=xl/worksheets/sheet1.xml><?xml version="1.0" encoding="utf-8"?>
<worksheet xmlns="http://schemas.openxmlformats.org/spreadsheetml/2006/main">
  <sheetPr>
    <outlinePr summaryBelow="1" summaryRight="1"/>
    <pageSetUpPr/>
  </sheetPr>
  <dimension ref="A1:M28"/>
  <sheetViews>
    <sheetView topLeftCell="H1" workbookViewId="0">
      <selection activeCell="M13" sqref="M13"/>
    </sheetView>
  </sheetViews>
  <sheetFormatPr baseColWidth="8" defaultRowHeight="14"/>
  <cols>
    <col width="20" customWidth="1" style="29" min="1" max="9"/>
    <col width="32" customWidth="1" style="29" min="10" max="10"/>
    <col width="20" customWidth="1" style="29" min="11" max="12"/>
    <col width="24" customWidth="1" style="29" min="13" max="13"/>
  </cols>
  <sheetData>
    <row r="1" ht="18" customHeight="1" s="29">
      <c r="A1" s="7" t="inlineStr">
        <is>
          <t>Dropdown Lists - do not edit unless updating allowed values</t>
        </is>
      </c>
      <c r="B1" s="7" t="n"/>
      <c r="C1" s="7" t="n"/>
      <c r="D1" s="8" t="n"/>
      <c r="E1" s="8" t="n"/>
      <c r="F1" s="8" t="n"/>
      <c r="G1" s="8" t="n"/>
      <c r="H1" s="8" t="n"/>
      <c r="I1" s="8" t="n"/>
      <c r="J1" s="8" t="n"/>
      <c r="K1" s="8" t="n"/>
      <c r="L1" s="8" t="n"/>
      <c r="M1" s="13" t="inlineStr">
        <is>
          <t>CandidateCategory</t>
        </is>
      </c>
    </row>
    <row r="2">
      <c r="M2" t="inlineStr">
        <is>
          <t>Shortlisted</t>
        </is>
      </c>
    </row>
    <row r="3">
      <c r="A3" s="10" t="inlineStr">
        <is>
          <t>Status</t>
        </is>
      </c>
      <c r="B3" s="10" t="inlineStr">
        <is>
          <t>Risk</t>
        </is>
      </c>
      <c r="C3" s="10" t="inlineStr">
        <is>
          <t>Phase</t>
        </is>
      </c>
      <c r="D3" s="10" t="inlineStr">
        <is>
          <t>Tool</t>
        </is>
      </c>
      <c r="E3" s="10" t="inlineStr">
        <is>
          <t>YesNo</t>
        </is>
      </c>
      <c r="F3" s="10" t="inlineStr">
        <is>
          <t>ActionType</t>
        </is>
      </c>
      <c r="G3" s="10" t="inlineStr">
        <is>
          <t>SourceType</t>
        </is>
      </c>
      <c r="H3" s="10" t="inlineStr">
        <is>
          <t>FileType</t>
        </is>
      </c>
      <c r="I3" s="10" t="inlineStr">
        <is>
          <t>ResourceType</t>
        </is>
      </c>
      <c r="J3" s="10" t="inlineStr">
        <is>
          <t>Stage</t>
        </is>
      </c>
      <c r="K3" s="10" t="inlineStr">
        <is>
          <t>Severity</t>
        </is>
      </c>
      <c r="L3" s="10" t="inlineStr">
        <is>
          <t>Milestone_Status</t>
        </is>
      </c>
      <c r="M3" t="inlineStr">
        <is>
          <t>Under Shortlisting</t>
        </is>
      </c>
    </row>
    <row r="4">
      <c r="A4" t="inlineStr">
        <is>
          <t>Not Started</t>
        </is>
      </c>
      <c r="B4" t="inlineStr">
        <is>
          <t>Low</t>
        </is>
      </c>
      <c r="C4" t="inlineStr">
        <is>
          <t>Pilot</t>
        </is>
      </c>
      <c r="D4" t="inlineStr">
        <is>
          <t>Laser AI</t>
        </is>
      </c>
      <c r="E4" t="inlineStr">
        <is>
          <t>Yes</t>
        </is>
      </c>
      <c r="F4" t="inlineStr">
        <is>
          <t>Decision</t>
        </is>
      </c>
      <c r="G4" t="inlineStr">
        <is>
          <t>Email</t>
        </is>
      </c>
      <c r="H4" t="inlineStr">
        <is>
          <t>RIS</t>
        </is>
      </c>
      <c r="I4" t="inlineStr">
        <is>
          <t>Folder</t>
        </is>
      </c>
      <c r="J4" t="inlineStr">
        <is>
          <t>Review selection and onboarding</t>
        </is>
      </c>
      <c r="K4" t="inlineStr">
        <is>
          <t>Low</t>
        </is>
      </c>
      <c r="L4" t="inlineStr">
        <is>
          <t>Complete</t>
        </is>
      </c>
      <c r="M4" t="inlineStr">
        <is>
          <t>Future Phase</t>
        </is>
      </c>
    </row>
    <row r="5">
      <c r="A5" t="inlineStr">
        <is>
          <t>Pending</t>
        </is>
      </c>
      <c r="B5" t="inlineStr">
        <is>
          <t>Medium</t>
        </is>
      </c>
      <c r="C5" t="inlineStr">
        <is>
          <t>Phase 1</t>
        </is>
      </c>
      <c r="D5" t="inlineStr">
        <is>
          <t>Nested Knowledge</t>
        </is>
      </c>
      <c r="E5" t="inlineStr">
        <is>
          <t>No</t>
        </is>
      </c>
      <c r="F5" t="inlineStr">
        <is>
          <t>ToDo</t>
        </is>
      </c>
      <c r="G5" t="inlineStr">
        <is>
          <t>Meeting</t>
        </is>
      </c>
      <c r="H5" t="inlineStr">
        <is>
          <t>PDFs</t>
        </is>
      </c>
      <c r="I5" t="inlineStr">
        <is>
          <t>Protocol</t>
        </is>
      </c>
      <c r="J5" t="inlineStr">
        <is>
          <t>Setup package and data item readiness</t>
        </is>
      </c>
      <c r="K5" t="inlineStr">
        <is>
          <t>Medium</t>
        </is>
      </c>
      <c r="L5" t="inlineStr">
        <is>
          <t>Active</t>
        </is>
      </c>
      <c r="M5" t="inlineStr">
        <is>
          <t>Not Eligible</t>
        </is>
      </c>
    </row>
    <row r="6">
      <c r="A6" t="inlineStr">
        <is>
          <t>Under Review</t>
        </is>
      </c>
      <c r="B6" t="inlineStr">
        <is>
          <t>High</t>
        </is>
      </c>
      <c r="C6" t="inlineStr">
        <is>
          <t>Phase 2</t>
        </is>
      </c>
      <c r="D6" t="inlineStr">
        <is>
          <t>Tool A</t>
        </is>
      </c>
      <c r="F6" t="inlineStr">
        <is>
          <t>MoMAction</t>
        </is>
      </c>
      <c r="G6" t="inlineStr">
        <is>
          <t>MoM</t>
        </is>
      </c>
      <c r="H6" t="inlineStr">
        <is>
          <t>Criteria</t>
        </is>
      </c>
      <c r="I6" t="inlineStr">
        <is>
          <t>Presentation</t>
        </is>
      </c>
      <c r="J6" t="inlineStr">
        <is>
          <t>Abstract screening</t>
        </is>
      </c>
      <c r="K6" t="inlineStr">
        <is>
          <t>High</t>
        </is>
      </c>
      <c r="L6" t="inlineStr">
        <is>
          <t>Risk</t>
        </is>
      </c>
      <c r="M6" t="inlineStr">
        <is>
          <t>On Hold</t>
        </is>
      </c>
    </row>
    <row r="7">
      <c r="A7" t="inlineStr">
        <is>
          <t>In Progress</t>
        </is>
      </c>
      <c r="B7" t="inlineStr">
        <is>
          <t>TBD</t>
        </is>
      </c>
      <c r="C7" t="inlineStr">
        <is>
          <t>Governance</t>
        </is>
      </c>
      <c r="D7" t="inlineStr">
        <is>
          <t>Tool B</t>
        </is>
      </c>
      <c r="F7" t="inlineStr">
        <is>
          <t>FollowUp</t>
        </is>
      </c>
      <c r="G7" t="inlineStr">
        <is>
          <t>Call</t>
        </is>
      </c>
      <c r="H7" t="inlineStr">
        <is>
          <t>Extraction</t>
        </is>
      </c>
      <c r="I7" t="inlineStr">
        <is>
          <t>Survey</t>
        </is>
      </c>
      <c r="J7" t="inlineStr">
        <is>
          <t>Full-text readiness and screening</t>
        </is>
      </c>
      <c r="L7" t="inlineStr">
        <is>
          <t>Pending</t>
        </is>
      </c>
      <c r="M7" t="inlineStr">
        <is>
          <t>Clarification Needed</t>
        </is>
      </c>
    </row>
    <row r="8">
      <c r="A8" t="inlineStr">
        <is>
          <t>Waiting on Others</t>
        </is>
      </c>
      <c r="C8" t="inlineStr">
        <is>
          <t>MoM</t>
        </is>
      </c>
      <c r="D8" t="inlineStr">
        <is>
          <t>Allocated tool pending</t>
        </is>
      </c>
      <c r="F8" t="inlineStr">
        <is>
          <t>Escalation</t>
        </is>
      </c>
      <c r="G8" t="inlineStr">
        <is>
          <t>Document</t>
        </is>
      </c>
      <c r="H8" t="inlineStr">
        <is>
          <t>Protocol</t>
        </is>
      </c>
      <c r="I8" t="inlineStr">
        <is>
          <t>Template</t>
        </is>
      </c>
      <c r="J8" t="inlineStr">
        <is>
          <t>Data extraction</t>
        </is>
      </c>
      <c r="L8" t="inlineStr">
        <is>
          <t>Blank</t>
        </is>
      </c>
      <c r="M8" t="inlineStr">
        <is>
          <t>Withdrawn</t>
        </is>
      </c>
    </row>
    <row r="9">
      <c r="A9" t="inlineStr">
        <is>
          <t>Needs Action</t>
        </is>
      </c>
      <c r="D9" t="inlineStr">
        <is>
          <t>AI tool pending</t>
        </is>
      </c>
      <c r="F9" t="inlineStr">
        <is>
          <t>CrossPhase</t>
        </is>
      </c>
      <c r="G9" t="inlineStr">
        <is>
          <t>Dashboard</t>
        </is>
      </c>
      <c r="H9" t="inlineStr">
        <is>
          <t>Time Log</t>
        </is>
      </c>
      <c r="I9" t="inlineStr">
        <is>
          <t>Excel</t>
        </is>
      </c>
      <c r="J9" t="inlineStr">
        <is>
          <t>Analysis and downstream work</t>
        </is>
      </c>
    </row>
    <row r="10">
      <c r="A10" t="inlineStr">
        <is>
          <t>Blocked</t>
        </is>
      </c>
      <c r="D10" t="inlineStr">
        <is>
          <t>TBD</t>
        </is>
      </c>
      <c r="G10" t="inlineStr">
        <is>
          <t>Other</t>
        </is>
      </c>
      <c r="I10" t="inlineStr">
        <is>
          <t>Spreadsheet</t>
        </is>
      </c>
    </row>
    <row r="11">
      <c r="A11" t="inlineStr">
        <is>
          <t>Complete</t>
        </is>
      </c>
      <c r="I11" t="inlineStr">
        <is>
          <t>PDF</t>
        </is>
      </c>
    </row>
    <row r="12">
      <c r="A12" t="inlineStr">
        <is>
          <t>Complete / Under Review</t>
        </is>
      </c>
      <c r="I12" t="inlineStr">
        <is>
          <t>MeetingNotes</t>
        </is>
      </c>
    </row>
    <row r="13">
      <c r="A13" t="inlineStr">
        <is>
          <t>Ready</t>
        </is>
      </c>
      <c r="I13" t="inlineStr">
        <is>
          <t>Link</t>
        </is>
      </c>
    </row>
    <row r="14">
      <c r="A14" t="inlineStr">
        <is>
          <t>Missing</t>
        </is>
      </c>
    </row>
    <row r="15">
      <c r="A15" t="inlineStr">
        <is>
          <t>Scheduled</t>
        </is>
      </c>
    </row>
    <row r="16">
      <c r="A16" t="inlineStr">
        <is>
          <t>Sent</t>
        </is>
      </c>
    </row>
    <row r="17">
      <c r="A17" t="inlineStr">
        <is>
          <t>Active</t>
        </is>
      </c>
    </row>
    <row r="18">
      <c r="A18" t="inlineStr">
        <is>
          <t>Open</t>
        </is>
      </c>
    </row>
    <row r="19">
      <c r="A19" t="inlineStr">
        <is>
          <t>Closed</t>
        </is>
      </c>
    </row>
    <row r="20">
      <c r="A20" t="inlineStr">
        <is>
          <t>Not Applicable</t>
        </is>
      </c>
    </row>
    <row r="21">
      <c r="A21" t="inlineStr">
        <is>
          <t>Not Eligible</t>
        </is>
      </c>
    </row>
    <row r="22">
      <c r="A22" t="inlineStr">
        <is>
          <t>Not Yet Required</t>
        </is>
      </c>
    </row>
    <row r="23">
      <c r="A23" t="inlineStr">
        <is>
          <t>Wrapping Up</t>
        </is>
      </c>
    </row>
    <row r="24">
      <c r="A24" t="inlineStr">
        <is>
          <t>Starts 20 May</t>
        </is>
      </c>
    </row>
    <row r="25">
      <c r="A25" t="inlineStr">
        <is>
          <t>TBD</t>
        </is>
      </c>
    </row>
    <row r="26">
      <c r="A26" t="inlineStr">
        <is>
          <t>To Be Updated</t>
        </is>
      </c>
    </row>
    <row r="27">
      <c r="A27" t="inlineStr">
        <is>
          <t>On Track</t>
        </is>
      </c>
    </row>
    <row r="28">
      <c r="A28" t="inlineStr">
        <is>
          <t>Withdrawn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16"/>
  <sheetViews>
    <sheetView workbookViewId="0">
      <selection activeCell="B16" sqref="B16"/>
    </sheetView>
  </sheetViews>
  <sheetFormatPr baseColWidth="8" defaultRowHeight="14"/>
  <cols>
    <col width="24" customWidth="1" style="29" min="1" max="1"/>
    <col width="105" customWidth="1" style="29" min="2" max="2"/>
  </cols>
  <sheetData>
    <row r="1" ht="18" customHeight="1" s="29">
      <c r="A1" s="2" t="inlineStr">
        <is>
          <t>Cochrane AI Platform Study Dashboard Backend</t>
        </is>
      </c>
      <c r="B1" s="2" t="n"/>
    </row>
    <row r="2">
      <c r="A2" s="3" t="inlineStr">
        <is>
          <t>Purpose</t>
        </is>
      </c>
      <c r="B2" s="18" t="inlineStr">
        <is>
          <t>This workbook is structured for dashboard content only. Do not store full project archives or long background notes here.</t>
        </is>
      </c>
    </row>
    <row r="3" ht="28" customHeight="1" s="29">
      <c r="A3" s="3" t="inlineStr">
        <is>
          <t>Main rule</t>
        </is>
      </c>
      <c r="B3" s="18" t="inlineStr">
        <is>
          <t>Each review has one sheet. Within each review sheet, sections are stacked vertically. Nothing is placed side-by-side, so rows can be added/deleted with lower risk.</t>
        </is>
      </c>
    </row>
    <row r="4" ht="28" customHeight="1" s="29">
      <c r="A4" s="3" t="inlineStr">
        <is>
          <t>Dashboard screens</t>
        </is>
      </c>
      <c r="B4" s="18" t="inlineStr">
        <is>
          <t>Executive Review Card; Review Detail; Operations / Visual Tracker; Files; Communication Log; Critical Items; Resources; Upcoming Meetings.</t>
        </is>
      </c>
    </row>
    <row r="5" ht="28" customHeight="1" s="29">
      <c r="A5" s="3" t="inlineStr">
        <is>
          <t>63 actions</t>
        </is>
      </c>
      <c r="B5" s="18" t="inlineStr">
        <is>
          <t>The full 63-step workflow is included in Workflow_63_Actions and repeated in each review sheet under the Review Workflow Status section.</t>
        </is>
      </c>
    </row>
    <row r="6" ht="28" customHeight="1" s="29">
      <c r="A6" s="3" t="inlineStr">
        <is>
          <t>How to update</t>
        </is>
      </c>
      <c r="B6" s="18" t="inlineStr">
        <is>
          <t>Update only cells in the Value, Status, Owner, DueDate, Notes, and Display columns. Add rows inside the relevant section table when needed.</t>
        </is>
      </c>
    </row>
    <row r="7">
      <c r="A7" s="3" t="inlineStr">
        <is>
          <t>Avoid</t>
        </is>
      </c>
      <c r="B7" s="18" t="inlineStr">
        <is>
          <t>Do not add sections to the right of existing content. Add new sections below the current sections.</t>
        </is>
      </c>
    </row>
    <row r="8">
      <c r="A8" s="3" t="inlineStr">
        <is>
          <t>Exporter note</t>
        </is>
      </c>
      <c r="B8" s="18" t="inlineStr">
        <is>
          <t>The dashboard exporter should read by section/table names rather than fixed cell coordinates.</t>
        </is>
      </c>
    </row>
    <row r="10">
      <c r="A10" s="9" t="inlineStr">
        <is>
          <t>Latest change</t>
        </is>
      </c>
      <c r="B10" s="9" t="inlineStr">
        <is>
          <t>2026-08-13 updates: Fruit &amp; Veg Laser AI restart noted; Oral Galactagogues withdrawn after 2026-08-11 team decline; BP Targets extraction completion confirmation overdue; Psoriasis date marked overdue/confirmation required.</t>
        </is>
      </c>
    </row>
    <row r="11">
      <c r="A11" t="inlineStr">
        <is>
          <t>Dropdowns</t>
        </is>
      </c>
      <c r="B11" t="inlineStr">
        <is>
          <t>Dropdown validations added for Status, Risk, Phase, Tool, Yes/No, SourceType, FileType, ResourceType, Stage, Severity, and Milestone_Status.</t>
        </is>
      </c>
    </row>
    <row r="12">
      <c r="A12" t="inlineStr">
        <is>
          <t>Review sheets</t>
        </is>
      </c>
      <c r="B12" t="inlineStr">
        <is>
          <t>Sections remain stacked vertically. You can add/delete rows within sections, but keep the section headers and column names stable.</t>
        </is>
      </c>
    </row>
    <row r="13">
      <c r="A13" t="inlineStr">
        <is>
          <t>Workflow_Master</t>
        </is>
      </c>
      <c r="B13" t="inlineStr">
        <is>
          <t>Kept as a separate sheet matching the old Excel backend. Workflow_63_Actions mirrors the same content for readability.</t>
        </is>
      </c>
    </row>
    <row r="14">
      <c r="A14" t="inlineStr">
        <is>
          <t>Do not store</t>
        </is>
      </c>
      <c r="B14" t="inlineStr">
        <is>
          <t>Avoid adding internal archive notes that will not display in the dashboard.</t>
        </is>
      </c>
    </row>
    <row r="16" ht="28" customHeight="1" s="29">
      <c r="A16" s="19" t="inlineStr">
        <is>
          <t>New_Reviews sheet</t>
        </is>
      </c>
      <c r="B16" s="20" t="inlineStr">
        <is>
          <t>Use for continuous onboarding pipeline before a review becomes a full dashboard review sheet. Keep entries brief: review name, category/status, target phase, owner/contact, and remarks.</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2"/>
  <sheetViews>
    <sheetView tabSelected="1" workbookViewId="0">
      <pane xSplit="2" ySplit="1" topLeftCell="J2" activePane="bottomRight" state="frozen"/>
      <selection pane="topRight" activeCell="C1" sqref="C1"/>
      <selection pane="bottomLeft" activeCell="A2" sqref="A2"/>
      <selection pane="bottomRight" activeCell="J21" sqref="J21"/>
    </sheetView>
  </sheetViews>
  <sheetFormatPr baseColWidth="8" defaultRowHeight="14"/>
  <cols>
    <col width="18" customWidth="1" style="29" min="1" max="2"/>
    <col width="44" customWidth="1" style="29" min="3" max="3"/>
    <col width="18" customWidth="1" style="29" min="4" max="8"/>
    <col width="42" customWidth="1" style="29" min="9" max="10"/>
    <col width="18" customWidth="1" style="29" min="11" max="14"/>
  </cols>
  <sheetData>
    <row r="1">
      <c r="A1" s="4" t="inlineStr">
        <is>
          <t>ReviewID</t>
        </is>
      </c>
      <c r="B1" s="4" t="inlineStr">
        <is>
          <t>ShortName</t>
        </is>
      </c>
      <c r="C1" s="4" t="inlineStr">
        <is>
          <t>ReviewTitle</t>
        </is>
      </c>
      <c r="D1" s="4" t="inlineStr">
        <is>
          <t>Phase</t>
        </is>
      </c>
      <c r="E1" s="4" t="inlineStr">
        <is>
          <t>Status</t>
        </is>
      </c>
      <c r="F1" s="4" t="inlineStr">
        <is>
          <t>Risk</t>
        </is>
      </c>
      <c r="G1" s="4" t="inlineStr">
        <is>
          <t>Tool</t>
        </is>
      </c>
      <c r="H1" s="4" t="inlineStr">
        <is>
          <t>Lead</t>
        </is>
      </c>
      <c r="I1" s="4" t="inlineStr">
        <is>
          <t>CurrentStage</t>
        </is>
      </c>
      <c r="J1" s="4" t="inlineStr">
        <is>
          <t>NextAction</t>
        </is>
      </c>
      <c r="K1" s="4" t="inlineStr">
        <is>
          <t>TargetDate</t>
        </is>
      </c>
      <c r="L1" s="4" t="inlineStr">
        <is>
          <t>Assessment</t>
        </is>
      </c>
      <c r="M1" s="4" t="inlineStr">
        <is>
          <t>DisplayInHTML</t>
        </is>
      </c>
      <c r="N1" s="4" t="inlineStr">
        <is>
          <t>ReviewSheet</t>
        </is>
      </c>
    </row>
    <row r="2">
      <c r="A2" t="inlineStr">
        <is>
          <t>pilot-01</t>
        </is>
      </c>
      <c r="B2" t="inlineStr">
        <is>
          <t>Caffeine</t>
        </is>
      </c>
      <c r="C2" t="inlineStr">
        <is>
          <t>Cessation of caffeine</t>
        </is>
      </c>
      <c r="D2" t="inlineStr">
        <is>
          <t>Pilot</t>
        </is>
      </c>
      <c r="E2" t="inlineStr">
        <is>
          <t>Closed</t>
        </is>
      </c>
      <c r="F2" t="inlineStr">
        <is>
          <t>Medium</t>
        </is>
      </c>
      <c r="G2" t="inlineStr">
        <is>
          <t>TBD</t>
        </is>
      </c>
      <c r="H2" t="inlineStr">
        <is>
          <t>Matteo Bruschettini</t>
        </is>
      </c>
      <c r="I2" t="inlineStr">
        <is>
          <t>Pilot closeout closed</t>
        </is>
      </c>
      <c r="K2" t="inlineStr">
        <is>
          <t>2026-05-10</t>
        </is>
      </c>
      <c r="L2" t="inlineStr">
        <is>
          <t>Closed</t>
        </is>
      </c>
      <c r="M2" t="inlineStr">
        <is>
          <t>Yes</t>
        </is>
      </c>
      <c r="N2" t="inlineStr">
        <is>
          <t>pilot-01 Caffeine</t>
        </is>
      </c>
    </row>
    <row r="3">
      <c r="A3" t="inlineStr">
        <is>
          <t>pilot-02</t>
        </is>
      </c>
      <c r="B3" t="inlineStr">
        <is>
          <t>DMARDs / RA</t>
        </is>
      </c>
      <c r="C3" t="inlineStr">
        <is>
          <t>DMARDs / Rheumatoid arthritis</t>
        </is>
      </c>
      <c r="D3" t="inlineStr">
        <is>
          <t>Pilot</t>
        </is>
      </c>
      <c r="E3" t="inlineStr">
        <is>
          <t>Closed</t>
        </is>
      </c>
      <c r="F3" t="inlineStr">
        <is>
          <t>Medium</t>
        </is>
      </c>
      <c r="G3" t="inlineStr">
        <is>
          <t>TBD</t>
        </is>
      </c>
      <c r="H3" t="inlineStr">
        <is>
          <t>Jordi Pardo Pardo / Glen Hazlewood</t>
        </is>
      </c>
      <c r="I3" t="inlineStr">
        <is>
          <t>Pilot closeout closed</t>
        </is>
      </c>
      <c r="K3" t="inlineStr">
        <is>
          <t>2026-05-13</t>
        </is>
      </c>
      <c r="L3" t="inlineStr">
        <is>
          <t>Closed</t>
        </is>
      </c>
      <c r="M3" t="inlineStr">
        <is>
          <t>Yes</t>
        </is>
      </c>
      <c r="N3" t="inlineStr">
        <is>
          <t>pilot-02 DMARDs RA</t>
        </is>
      </c>
    </row>
    <row r="4">
      <c r="A4" t="inlineStr">
        <is>
          <t>phase1-01</t>
        </is>
      </c>
      <c r="B4" t="inlineStr">
        <is>
          <t>BP Targets</t>
        </is>
      </c>
      <c r="C4" t="inlineStr">
        <is>
          <t>Blood pressure targets for hypertension in people with diabetes mellitus</t>
        </is>
      </c>
      <c r="D4" t="inlineStr">
        <is>
          <t>Phase 1</t>
        </is>
      </c>
      <c r="E4" t="inlineStr">
        <is>
          <t>Analysis underway; reference-standard clarification pending</t>
        </is>
      </c>
      <c r="F4" t="inlineStr">
        <is>
          <t>Medium</t>
        </is>
      </c>
      <c r="G4" t="inlineStr">
        <is>
          <t>Laser AI</t>
        </is>
      </c>
      <c r="H4" t="inlineStr">
        <is>
          <t>Doreen Larvie</t>
        </is>
      </c>
      <c r="I4" t="inlineStr">
        <is>
          <t>Both extraction outputs received; Sean is analysing the results and awaiting clarification of the final reference standard</t>
        </is>
      </c>
      <c r="J4" t="inlineStr">
        <is>
          <t>Obtain Doreen's clarification, confirm the final reference standard and continue comparison</t>
        </is>
      </c>
      <c r="K4" s="22" t="inlineStr">
        <is>
          <t>Awaiting review-team clarification</t>
        </is>
      </c>
      <c r="L4" t="inlineStr">
        <is>
          <t>Waiting on Others</t>
        </is>
      </c>
      <c r="M4" t="inlineStr">
        <is>
          <t>Yes</t>
        </is>
      </c>
      <c r="N4" t="inlineStr">
        <is>
          <t>phase1-01 BP Targets</t>
        </is>
      </c>
    </row>
    <row r="5">
      <c r="A5" t="inlineStr">
        <is>
          <t>phase1-02</t>
        </is>
      </c>
      <c r="B5" t="inlineStr">
        <is>
          <t>Psoriasis</t>
        </is>
      </c>
      <c r="C5" t="inlineStr">
        <is>
          <t>Systemic pharmacological treatments for chronic plaque psoriasis</t>
        </is>
      </c>
      <c r="D5" t="inlineStr">
        <is>
          <t>Phase 1</t>
        </is>
      </c>
      <c r="E5" t="inlineStr">
        <is>
          <t>Data extraction complete; validation underway</t>
        </is>
      </c>
      <c r="F5" t="inlineStr">
        <is>
          <t>Medium</t>
        </is>
      </c>
      <c r="G5" t="inlineStr">
        <is>
          <t>Nested Knowledge</t>
        </is>
      </c>
      <c r="H5" t="inlineStr">
        <is>
          <t>Laurence Le Cleach / Sivem Afach</t>
        </is>
      </c>
      <c r="I5" t="inlineStr">
        <is>
          <t>Conventional and AI extraction files received; times recorded as 2h45 and 2h10 respectively</t>
        </is>
      </c>
      <c r="J5" t="inlineStr">
        <is>
          <t>Validate both extraction outputs and prepare the comparison/adjudication dataset</t>
        </is>
      </c>
      <c r="K5" t="inlineStr">
        <is>
          <t>Immediate</t>
        </is>
      </c>
      <c r="L5" t="inlineStr">
        <is>
          <t>In Progress</t>
        </is>
      </c>
      <c r="M5" t="inlineStr">
        <is>
          <t>Yes</t>
        </is>
      </c>
      <c r="N5" t="inlineStr">
        <is>
          <t>phase1-02 Psoriasis</t>
        </is>
      </c>
    </row>
    <row r="6">
      <c r="A6" t="inlineStr">
        <is>
          <t>phase1-03</t>
        </is>
      </c>
      <c r="B6" t="inlineStr">
        <is>
          <t>Fruit &amp; Veg</t>
        </is>
      </c>
      <c r="C6" t="inlineStr">
        <is>
          <t>Interventions for increasing fruit and vegetable consumption in children aged five years and under</t>
        </is>
      </c>
      <c r="D6" t="inlineStr">
        <is>
          <t>Phase 1</t>
        </is>
      </c>
      <c r="E6" t="inlineStr">
        <is>
          <t>Abstract screening complete; full-text setup underway</t>
        </is>
      </c>
      <c r="F6" t="inlineStr">
        <is>
          <t>Medium</t>
        </is>
      </c>
      <c r="G6" t="inlineStr">
        <is>
          <t>Laser AI</t>
        </is>
      </c>
      <c r="H6" t="inlineStr">
        <is>
          <t>Rebecca K. Hodder</t>
        </is>
      </c>
      <c r="I6" t="inlineStr">
        <is>
          <t>Screening discrepancy resolved; PDFs for 145 records uploaded; full-text setup awaiting confirmation</t>
        </is>
      </c>
      <c r="J6" t="inlineStr">
        <is>
          <t>Confirm full-text project readiness and commence parallel full-text screening</t>
        </is>
      </c>
      <c r="K6" t="inlineStr">
        <is>
          <t>Immediate</t>
        </is>
      </c>
      <c r="L6" t="inlineStr">
        <is>
          <t>In Progress</t>
        </is>
      </c>
      <c r="M6" t="inlineStr">
        <is>
          <t>Yes</t>
        </is>
      </c>
      <c r="N6" t="inlineStr">
        <is>
          <t>phase1-03 Fruit &amp; Veg</t>
        </is>
      </c>
    </row>
    <row r="7">
      <c r="A7" t="inlineStr">
        <is>
          <t>phase1-04</t>
        </is>
      </c>
      <c r="B7" t="inlineStr">
        <is>
          <t>Med Adherence</t>
        </is>
      </c>
      <c r="C7" t="inlineStr">
        <is>
          <t>Interventions for improving medication-taking ability and adherence in older adults prescribed multiple medications</t>
        </is>
      </c>
      <c r="D7" t="inlineStr">
        <is>
          <t>Phase 1</t>
        </is>
      </c>
      <c r="E7" t="inlineStr">
        <is>
          <t>Withdrawn</t>
        </is>
      </c>
      <c r="F7" t="inlineStr">
        <is>
          <t>Low</t>
        </is>
      </c>
      <c r="G7" t="inlineStr">
        <is>
          <t>Nested Knowledge</t>
        </is>
      </c>
      <c r="H7" t="inlineStr">
        <is>
          <t>Amanda Cross / Rehan Sarwar</t>
        </is>
      </c>
      <c r="I7" t="inlineStr">
        <is>
          <t>Team has withdrawn from the platform study due to capacity constraints</t>
        </is>
      </c>
      <c r="J7" t="inlineStr">
        <is>
          <t>Retain as withdrawn/historical record; no active follow-up required</t>
        </is>
      </c>
      <c r="L7" t="inlineStr">
        <is>
          <t>Withdrawn</t>
        </is>
      </c>
      <c r="M7" t="inlineStr">
        <is>
          <t>No</t>
        </is>
      </c>
      <c r="N7" t="inlineStr">
        <is>
          <t>phase1-04 Med Adherence</t>
        </is>
      </c>
    </row>
    <row r="8">
      <c r="A8" t="inlineStr">
        <is>
          <t>phase1-05</t>
        </is>
      </c>
      <c r="B8" t="inlineStr">
        <is>
          <t>Vitamin C</t>
        </is>
      </c>
      <c r="C8" t="inlineStr">
        <is>
          <t>Vitamin C supplementation for prevention and treatment of pneumonia</t>
        </is>
      </c>
      <c r="D8" t="inlineStr">
        <is>
          <t>Phase 1</t>
        </is>
      </c>
      <c r="E8" t="inlineStr">
        <is>
          <t>Laser AI setup complete; decision-flow approval pending</t>
        </is>
      </c>
      <c r="F8" t="inlineStr">
        <is>
          <t>Medium</t>
        </is>
      </c>
      <c r="G8" t="inlineStr">
        <is>
          <t>Laser AI</t>
        </is>
      </c>
      <c r="H8" t="inlineStr">
        <is>
          <t>Syeda Kanza Naqvi / Jai Das</t>
        </is>
      </c>
      <c r="I8" t="inlineStr">
        <is>
          <t>Laser AI project created with 3,486 deduplicated references</t>
        </is>
      </c>
      <c r="J8" t="inlineStr">
        <is>
          <t>Obtain decision-flow approval, provide reviewer access and begin screening</t>
        </is>
      </c>
      <c r="K8" t="inlineStr">
        <is>
          <t>Awaiting review team approval</t>
        </is>
      </c>
      <c r="L8" t="inlineStr">
        <is>
          <t>Waiting on Others</t>
        </is>
      </c>
      <c r="M8" t="inlineStr">
        <is>
          <t>Yes</t>
        </is>
      </c>
      <c r="N8" t="inlineStr">
        <is>
          <t>phase1-05 Vitamin C</t>
        </is>
      </c>
    </row>
    <row r="9">
      <c r="A9" t="inlineStr">
        <is>
          <t>phase2-01</t>
        </is>
      </c>
      <c r="B9" t="inlineStr">
        <is>
          <t>Phase 2 Batch</t>
        </is>
      </c>
      <c r="C9" t="inlineStr">
        <is>
          <t>Phase 2 Batch</t>
        </is>
      </c>
      <c r="D9" t="inlineStr">
        <is>
          <t>Phase 2</t>
        </is>
      </c>
      <c r="E9" t="inlineStr">
        <is>
          <t>Scheduled</t>
        </is>
      </c>
      <c r="F9" t="inlineStr">
        <is>
          <t>Medium</t>
        </is>
      </c>
      <c r="G9" t="inlineStr">
        <is>
          <t>TBD</t>
        </is>
      </c>
      <c r="H9" t="inlineStr">
        <is>
          <t>TBD</t>
        </is>
      </c>
      <c r="I9" t="inlineStr">
        <is>
          <t>Planning based on results through mid-October</t>
        </is>
      </c>
      <c r="J9" t="inlineStr">
        <is>
          <t>Review results after mid-October and decide next phase/tool strategy</t>
        </is>
      </c>
      <c r="K9" t="inlineStr">
        <is>
          <t>After mid-October 2026</t>
        </is>
      </c>
      <c r="L9" t="inlineStr">
        <is>
          <t>Not Started</t>
        </is>
      </c>
      <c r="M9" t="inlineStr">
        <is>
          <t>Yes</t>
        </is>
      </c>
      <c r="N9" t="inlineStr">
        <is>
          <t>phase2-01 Phase 2 Batch</t>
        </is>
      </c>
    </row>
    <row r="10">
      <c r="A10" t="inlineStr">
        <is>
          <t>phase1-06</t>
        </is>
      </c>
      <c r="B10" t="inlineStr">
        <is>
          <t>Probiotics AAD</t>
        </is>
      </c>
      <c r="C10" t="inlineStr">
        <is>
          <t>Probiotics for the prevention of paediatric antibiotic-associated diarrhoea</t>
        </is>
      </c>
      <c r="D10" t="inlineStr">
        <is>
          <t>Phase 1</t>
        </is>
      </c>
      <c r="E10" t="inlineStr">
        <is>
          <t>Conventional abstract screening complete; NK screening underway</t>
        </is>
      </c>
      <c r="F10" t="inlineStr">
        <is>
          <t>Medium</t>
        </is>
      </c>
      <c r="G10" t="inlineStr">
        <is>
          <t>Nested Knowledge</t>
        </is>
      </c>
      <c r="H10" t="inlineStr">
        <is>
          <t>Jeremy Steen / Bradley Johnston</t>
        </is>
      </c>
      <c r="I10" t="inlineStr">
        <is>
          <t>Calibration complete; conventional screening complete; NK screening continuing</t>
        </is>
      </c>
      <c r="J10" t="inlineStr">
        <is>
          <t>Complete NK screening, record time and then start full text</t>
        </is>
      </c>
      <c r="K10" t="inlineStr">
        <is>
          <t>TBD</t>
        </is>
      </c>
      <c r="L10" t="inlineStr">
        <is>
          <t>In Progress</t>
        </is>
      </c>
      <c r="M10" t="inlineStr">
        <is>
          <t>Yes</t>
        </is>
      </c>
      <c r="N10" t="inlineStr">
        <is>
          <t>phase1-06 Probiotics</t>
        </is>
      </c>
    </row>
    <row r="11">
      <c r="A11" t="inlineStr">
        <is>
          <t>phase1-07</t>
        </is>
      </c>
      <c r="B11" t="inlineStr">
        <is>
          <t>Human Milk Fortifier</t>
        </is>
      </c>
      <c r="C11" t="inlineStr">
        <is>
          <t>Human milk-derived versus bovine milk-derived fortifier for prevention of mortality and morbidity in preterm neonates</t>
        </is>
      </c>
      <c r="D11" t="inlineStr">
        <is>
          <t>Phase 1</t>
        </is>
      </c>
      <c r="E11" t="inlineStr">
        <is>
          <t>Nested Knowledge setup complete; criteria validation pending</t>
        </is>
      </c>
      <c r="F11" t="inlineStr">
        <is>
          <t>Medium</t>
        </is>
      </c>
      <c r="G11" t="inlineStr">
        <is>
          <t>Nested Knowledge</t>
        </is>
      </c>
      <c r="H11" t="inlineStr">
        <is>
          <t>Mohan Pammi</t>
        </is>
      </c>
      <c r="I11" t="inlineStr">
        <is>
          <t>NK project created with 2,024 references; documents uploaded; awaiting Murali's screening-criteria approval</t>
        </is>
      </c>
      <c r="J11" t="inlineStr">
        <is>
          <t>Confirm Murali's access and criteria approval, then begin screening</t>
        </is>
      </c>
      <c r="K11" t="inlineStr">
        <is>
          <t>Awaiting review team approval</t>
        </is>
      </c>
      <c r="L11" t="inlineStr">
        <is>
          <t>Waiting on Others</t>
        </is>
      </c>
      <c r="M11" t="inlineStr">
        <is>
          <t>Yes</t>
        </is>
      </c>
      <c r="N11" t="inlineStr">
        <is>
          <t>phase1-07 Human Milk</t>
        </is>
      </c>
    </row>
    <row r="12">
      <c r="A12" t="inlineStr">
        <is>
          <t>phase1-08</t>
        </is>
      </c>
      <c r="B12" t="inlineStr">
        <is>
          <t>LNS</t>
        </is>
      </c>
      <c r="C12" t="inlineStr">
        <is>
          <t>Preventive lipid-based nutrient supplements given with complementary foods to infants and young children 6 to 23 months of age for health, nutrition, and developmental outcomes</t>
        </is>
      </c>
      <c r="D12" t="inlineStr">
        <is>
          <t>Phase 1</t>
        </is>
      </c>
      <c r="E12" t="inlineStr">
        <is>
          <t>Laser AI setup started; four searches outstanding</t>
        </is>
      </c>
      <c r="F12" t="inlineStr">
        <is>
          <t>Medium</t>
        </is>
      </c>
      <c r="G12" t="inlineStr">
        <is>
          <t>Laser AI</t>
        </is>
      </c>
      <c r="H12" t="inlineStr">
        <is>
          <t>Syeda Kanza Naqvi / Jai Das</t>
        </is>
      </c>
      <c r="I12" t="inlineStr">
        <is>
          <t>Initial setup started; selected data items saved; completion awaits results from four remaining database searches</t>
        </is>
      </c>
      <c r="J12" t="inlineStr">
        <is>
          <t>Obtain four outstanding searches, complete upload and validate the decision flow</t>
        </is>
      </c>
      <c r="K12" t="inlineStr">
        <is>
          <t>Awaiting four searches</t>
        </is>
      </c>
      <c r="L12" t="inlineStr">
        <is>
          <t>Waiting on Others</t>
        </is>
      </c>
      <c r="M12" t="inlineStr">
        <is>
          <t>Yes</t>
        </is>
      </c>
      <c r="N12" t="inlineStr">
        <is>
          <t>phase1-08 LNS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66"/>
  <sheetViews>
    <sheetView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1" t="inlineStr">
        <is>
          <t>Workflow Master</t>
        </is>
      </c>
      <c r="B1" s="11" t="inlineStr">
        <is>
          <t>Column1</t>
        </is>
      </c>
      <c r="C1" s="11" t="inlineStr">
        <is>
          <t>Column2</t>
        </is>
      </c>
      <c r="D1" s="11" t="inlineStr">
        <is>
          <t>Column3</t>
        </is>
      </c>
      <c r="E1" s="11" t="inlineStr">
        <is>
          <t>Column4</t>
        </is>
      </c>
      <c r="F1" s="11" t="inlineStr">
        <is>
          <t>Column5</t>
        </is>
      </c>
      <c r="G1" s="11" t="inlineStr">
        <is>
          <t>Column6</t>
        </is>
      </c>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28"/>
  <sheetViews>
    <sheetView topLeftCell="A9" workbookViewId="0">
      <selection activeCell="A1" sqref="A1:H1"/>
    </sheetView>
  </sheetViews>
  <sheetFormatPr baseColWidth="8" defaultRowHeight="14"/>
  <cols>
    <col width="18" customWidth="1" style="29" min="1" max="1"/>
    <col width="16" customWidth="1" style="29" min="2" max="2"/>
    <col width="18" customWidth="1" style="29" min="3" max="6"/>
    <col width="34" customWidth="1" style="29" min="7" max="7"/>
    <col width="18" customWidth="1" style="29" min="8" max="8"/>
  </cols>
  <sheetData>
    <row r="1" ht="18" customHeight="1" s="29">
      <c r="A1" s="28" t="inlineStr">
        <is>
          <t>Global Dashboard Content</t>
        </is>
      </c>
    </row>
    <row r="3">
      <c r="A3" s="5" t="inlineStr">
        <is>
          <t>Phase Strip / Timeline Cards</t>
        </is>
      </c>
      <c r="B3" s="5" t="n"/>
      <c r="C3" s="5" t="n"/>
      <c r="D3" s="5" t="n"/>
      <c r="E3" s="5" t="n"/>
      <c r="F3" s="5" t="n"/>
      <c r="G3" s="5" t="n"/>
      <c r="H3" s="5" t="n"/>
    </row>
    <row r="4">
      <c r="A4" s="1" t="inlineStr">
        <is>
          <t>PhaseKey</t>
        </is>
      </c>
      <c r="B4" s="1" t="inlineStr">
        <is>
          <t>PhaseLabel</t>
        </is>
      </c>
      <c r="C4" s="1" t="inlineStr">
        <is>
          <t>Window</t>
        </is>
      </c>
      <c r="D4" s="1" t="inlineStr">
        <is>
          <t>Note</t>
        </is>
      </c>
      <c r="E4" s="1" t="inlineStr">
        <is>
          <t>Display</t>
        </is>
      </c>
    </row>
    <row r="5">
      <c r="A5" t="inlineStr">
        <is>
          <t>pilot</t>
        </is>
      </c>
      <c r="B5" t="inlineStr">
        <is>
          <t>Pilot</t>
        </is>
      </c>
      <c r="C5" t="inlineStr">
        <is>
          <t>Mid March to Mid April</t>
        </is>
      </c>
      <c r="D5" t="inlineStr">
        <is>
          <t>Closed</t>
        </is>
      </c>
      <c r="E5" t="inlineStr">
        <is>
          <t>Yes</t>
        </is>
      </c>
    </row>
    <row r="6">
      <c r="A6" t="inlineStr">
        <is>
          <t>phase1</t>
        </is>
      </c>
      <c r="B6" t="inlineStr">
        <is>
          <t>Phase 1</t>
        </is>
      </c>
      <c r="C6" t="inlineStr">
        <is>
          <t>Mid April to mid-October 2026</t>
        </is>
      </c>
      <c r="D6" t="inlineStr">
        <is>
          <t>Laser AI continues; onboarding active</t>
        </is>
      </c>
      <c r="E6" t="inlineStr">
        <is>
          <t>Yes</t>
        </is>
      </c>
    </row>
    <row r="7">
      <c r="A7" t="inlineStr">
        <is>
          <t>governance</t>
        </is>
      </c>
      <c r="B7" t="inlineStr">
        <is>
          <t>Interim Analysis</t>
        </is>
      </c>
      <c r="C7" t="inlineStr">
        <is>
          <t>July–December 2026</t>
        </is>
      </c>
      <c r="D7" t="inlineStr">
        <is>
          <t>In progress; CESAR-FM extension initiated</t>
        </is>
      </c>
      <c r="E7" t="inlineStr">
        <is>
          <t>Yes</t>
        </is>
      </c>
    </row>
    <row r="8">
      <c r="A8" t="inlineStr">
        <is>
          <t>phase2</t>
        </is>
      </c>
      <c r="B8" t="inlineStr">
        <is>
          <t>Phase 2</t>
        </is>
      </c>
      <c r="C8" t="inlineStr">
        <is>
          <t>Decision after mid-October results</t>
        </is>
      </c>
      <c r="D8" t="inlineStr">
        <is>
          <t>Pending results-based decision</t>
        </is>
      </c>
      <c r="E8" t="inlineStr">
        <is>
          <t>Yes</t>
        </is>
      </c>
    </row>
    <row r="9">
      <c r="A9" t="inlineStr">
        <is>
          <t>governance</t>
        </is>
      </c>
      <c r="B9" t="inlineStr">
        <is>
          <t>Report</t>
        </is>
      </c>
      <c r="C9" t="inlineStr">
        <is>
          <t>December 2026</t>
        </is>
      </c>
      <c r="D9" t="inlineStr">
        <is>
          <t>Final report/project closeout</t>
        </is>
      </c>
      <c r="E9" t="inlineStr">
        <is>
          <t>Yes</t>
        </is>
      </c>
    </row>
    <row r="12">
      <c r="A12" s="5" t="inlineStr">
        <is>
          <t>Resources Displayed in Dashboard</t>
        </is>
      </c>
      <c r="B12" s="5" t="n"/>
      <c r="C12" s="5" t="n"/>
      <c r="D12" s="5" t="n"/>
      <c r="E12" s="5" t="n"/>
      <c r="F12" s="5" t="n"/>
      <c r="G12" s="5" t="n"/>
      <c r="H12" s="5" t="n"/>
    </row>
    <row r="13">
      <c r="A13" s="1" t="inlineStr">
        <is>
          <t>ResourceID</t>
        </is>
      </c>
      <c r="B13" s="1" t="inlineStr">
        <is>
          <t>Name</t>
        </is>
      </c>
      <c r="C13" s="1" t="inlineStr">
        <is>
          <t>Type</t>
        </is>
      </c>
      <c r="D13" s="1" t="inlineStr">
        <is>
          <t>Owner</t>
        </is>
      </c>
      <c r="E13" s="1" t="inlineStr">
        <is>
          <t>Status</t>
        </is>
      </c>
      <c r="F13" s="1" t="inlineStr">
        <is>
          <t>URL</t>
        </is>
      </c>
      <c r="G13" s="1" t="inlineStr">
        <is>
          <t>Notes</t>
        </is>
      </c>
      <c r="H13" s="1" t="inlineStr">
        <is>
          <t>Display</t>
        </is>
      </c>
    </row>
    <row r="14">
      <c r="A14" t="inlineStr">
        <is>
          <t>res-001</t>
        </is>
      </c>
      <c r="B14" t="inlineStr">
        <is>
          <t>2026 AI platform study shared folder</t>
        </is>
      </c>
      <c r="C14" t="inlineStr">
        <is>
          <t>Folder</t>
        </is>
      </c>
      <c r="D14" t="inlineStr">
        <is>
          <t>Krishna / Core Team</t>
        </is>
      </c>
      <c r="E14" t="inlineStr">
        <is>
          <t>Active</t>
        </is>
      </c>
      <c r="F14" t="inlineStr">
        <is>
          <t>https://cochranecollaboration.sharepoint.com/sites/EPM-EPRI/AI%20Methods%20Group/AI%20Methods%20Group%20%28shared%20folder%29/2026_AI%20platform%20study%20%28Shared%20folder%29</t>
        </is>
      </c>
      <c r="G14" t="inlineStr">
        <is>
          <t>AI Methods Group folder is the current source of truth; old folder should be archived or deleted.</t>
        </is>
      </c>
      <c r="H14" t="inlineStr">
        <is>
          <t>Yes</t>
        </is>
      </c>
    </row>
    <row r="15">
      <c r="A15" t="inlineStr">
        <is>
          <t>res-002</t>
        </is>
      </c>
      <c r="C15" t="inlineStr">
        <is>
          <t>Protocol</t>
        </is>
      </c>
      <c r="D15" t="inlineStr">
        <is>
          <t>Core Team</t>
        </is>
      </c>
      <c r="E15" t="inlineStr">
        <is>
          <t>Active</t>
        </is>
      </c>
      <c r="H15" t="inlineStr">
        <is>
          <t>Yes</t>
        </is>
      </c>
    </row>
    <row r="16">
      <c r="A16" t="inlineStr">
        <is>
          <t>res-003</t>
        </is>
      </c>
      <c r="C16" t="inlineStr">
        <is>
          <t>Presentation</t>
        </is>
      </c>
      <c r="D16" t="inlineStr">
        <is>
          <t>Krishna / Core Team</t>
        </is>
      </c>
      <c r="E16" t="inlineStr">
        <is>
          <t>Active</t>
        </is>
      </c>
      <c r="H16" t="inlineStr">
        <is>
          <t>Yes</t>
        </is>
      </c>
    </row>
    <row r="17">
      <c r="A17" t="inlineStr">
        <is>
          <t>res-006</t>
        </is>
      </c>
      <c r="C17" t="inlineStr">
        <is>
          <t>Spreadsheet</t>
        </is>
      </c>
      <c r="D17" t="inlineStr">
        <is>
          <t>Sean / Krishna</t>
        </is>
      </c>
      <c r="E17" t="inlineStr">
        <is>
          <t>Active</t>
        </is>
      </c>
      <c r="H17" t="inlineStr">
        <is>
          <t>Yes</t>
        </is>
      </c>
    </row>
    <row r="18">
      <c r="A18" t="inlineStr">
        <is>
          <t>res-007</t>
        </is>
      </c>
      <c r="C18" t="inlineStr">
        <is>
          <t>Folder</t>
        </is>
      </c>
      <c r="D18" t="inlineStr">
        <is>
          <t>Andreea / Krishna</t>
        </is>
      </c>
      <c r="E18" t="inlineStr">
        <is>
          <t>Active</t>
        </is>
      </c>
      <c r="G18" t="inlineStr">
        <is>
          <t>Laser AI work restarted; Fruit &amp; Veg screening restart pending confirmation.</t>
        </is>
      </c>
      <c r="H18" t="inlineStr">
        <is>
          <t>Yes</t>
        </is>
      </c>
    </row>
    <row r="21">
      <c r="A21" s="5" t="inlineStr">
        <is>
          <t>Upcoming Meetings Displayed in Dashboard</t>
        </is>
      </c>
      <c r="B21" s="5" t="n"/>
      <c r="C21" s="5" t="n"/>
      <c r="D21" s="5" t="n"/>
      <c r="E21" s="5" t="n"/>
      <c r="F21" s="5" t="n"/>
      <c r="G21" s="5" t="n"/>
      <c r="H21" s="5" t="n"/>
    </row>
    <row r="22">
      <c r="A22" s="1" t="inlineStr">
        <is>
          <t>MeetingID</t>
        </is>
      </c>
      <c r="B22" s="1" t="inlineStr">
        <is>
          <t>Date</t>
        </is>
      </c>
      <c r="C22" s="1" t="inlineStr">
        <is>
          <t>Title</t>
        </is>
      </c>
      <c r="D22" s="1" t="inlineStr">
        <is>
          <t>People</t>
        </is>
      </c>
      <c r="E22" s="1" t="inlineStr">
        <is>
          <t>Purpose</t>
        </is>
      </c>
      <c r="F22" s="1" t="inlineStr">
        <is>
          <t>Status</t>
        </is>
      </c>
      <c r="G22" s="1" t="inlineStr">
        <is>
          <t>Notes</t>
        </is>
      </c>
      <c r="H22" s="1" t="inlineStr">
        <is>
          <t>Display</t>
        </is>
      </c>
    </row>
    <row r="23">
      <c r="A23" t="inlineStr">
        <is>
          <t>meet-001</t>
        </is>
      </c>
      <c r="B23" t="inlineStr">
        <is>
          <t>15 May 2026</t>
        </is>
      </c>
      <c r="C23" t="inlineStr">
        <is>
          <t>Usability survey tracking discussion</t>
        </is>
      </c>
      <c r="F23" t="inlineStr">
        <is>
          <t>Completed / No longer required</t>
        </is>
      </c>
      <c r="G23" t="inlineStr">
        <is>
          <t>AI abstract screening completed; conventional consolidation and full-text setup are the next steps.</t>
        </is>
      </c>
      <c r="H23" t="inlineStr">
        <is>
          <t>No</t>
        </is>
      </c>
    </row>
    <row r="24">
      <c r="A24" t="inlineStr">
        <is>
          <t>mtg-08</t>
        </is>
      </c>
      <c r="B24" t="inlineStr">
        <is>
          <t>2026-08-10</t>
        </is>
      </c>
      <c r="C24" t="inlineStr">
        <is>
          <t>Oral Galactagogues Onboarding</t>
        </is>
      </c>
      <c r="D24" t="inlineStr">
        <is>
          <t>Siew Cheng Foong / full review team / two elective students / CESAR project team</t>
        </is>
      </c>
      <c r="E24" t="inlineStr">
        <is>
          <t>Initial onboarding and workflow planning before tool training/setup.</t>
        </is>
      </c>
      <c r="F24" t="inlineStr">
        <is>
          <t>Scheduled</t>
        </is>
      </c>
      <c r="G24" t="inlineStr">
        <is>
          <t>3:00 PM Malaysia / 8:00 AM BST / 3:00 AM EDT</t>
        </is>
      </c>
      <c r="H24" t="inlineStr">
        <is>
          <t>Yes</t>
        </is>
      </c>
    </row>
    <row r="25">
      <c r="A25" t="inlineStr">
        <is>
          <t>meet-003</t>
        </is>
      </c>
      <c r="B25" t="inlineStr">
        <is>
          <t>19 May 2026</t>
        </is>
      </c>
      <c r="C25" t="inlineStr">
        <is>
          <t>BP Targets review team check-in</t>
        </is>
      </c>
      <c r="F25" t="inlineStr">
        <is>
          <t>Sent</t>
        </is>
      </c>
      <c r="H25" t="inlineStr">
        <is>
          <t>Yes</t>
        </is>
      </c>
    </row>
    <row r="26">
      <c r="A26" t="inlineStr">
        <is>
          <t>meet-004</t>
        </is>
      </c>
      <c r="B26" t="inlineStr">
        <is>
          <t>19 May 2026</t>
        </is>
      </c>
      <c r="C26" t="inlineStr">
        <is>
          <t>Psoriasis review team check-in</t>
        </is>
      </c>
      <c r="F26" t="inlineStr">
        <is>
          <t>Sent</t>
        </is>
      </c>
      <c r="H26" t="inlineStr">
        <is>
          <t>Yes</t>
        </is>
      </c>
    </row>
    <row r="27">
      <c r="A27" t="inlineStr">
        <is>
          <t>meet-005</t>
        </is>
      </c>
      <c r="B27" t="inlineStr">
        <is>
          <t>19 May 2026</t>
        </is>
      </c>
      <c r="C27" t="inlineStr">
        <is>
          <t>Adjudication pilot deadline</t>
        </is>
      </c>
      <c r="F27" t="inlineStr">
        <is>
          <t>Pending</t>
        </is>
      </c>
      <c r="H27" t="inlineStr">
        <is>
          <t>Yes</t>
        </is>
      </c>
    </row>
    <row r="28">
      <c r="A28" t="inlineStr">
        <is>
          <t>meet-006</t>
        </is>
      </c>
      <c r="B28" t="inlineStr">
        <is>
          <t>21 May 2026</t>
        </is>
      </c>
      <c r="C28" t="inlineStr">
        <is>
          <t>PM + PI meeting</t>
        </is>
      </c>
      <c r="F28" t="inlineStr">
        <is>
          <t>Sent</t>
        </is>
      </c>
      <c r="H28" t="inlineStr">
        <is>
          <t>Yes</t>
        </is>
      </c>
    </row>
  </sheetData>
  <mergeCells count="1">
    <mergeCell ref="A1:H1"/>
  </mergeCells>
  <pageMargins left="0.7" right="0.7" top="0.75" bottom="0.75" header="0.3" footer="0.3"/>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6.xml><?xml version="1.0" encoding="utf-8"?>
<worksheet xmlns="http://schemas.openxmlformats.org/spreadsheetml/2006/main">
  <sheetPr>
    <outlinePr summaryBelow="1" summaryRight="1"/>
    <pageSetUpPr/>
  </sheetPr>
  <dimension ref="A1:M126"/>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pilot-01 Caffeine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pilot-01</t>
        </is>
      </c>
      <c r="C5" t="inlineStr">
        <is>
          <t>Yes</t>
        </is>
      </c>
    </row>
    <row r="6">
      <c r="A6" t="inlineStr">
        <is>
          <t>ShortName</t>
        </is>
      </c>
      <c r="B6" t="inlineStr">
        <is>
          <t>Caffeine</t>
        </is>
      </c>
      <c r="C6" t="inlineStr">
        <is>
          <t>Yes</t>
        </is>
      </c>
    </row>
    <row r="7">
      <c r="A7" t="inlineStr">
        <is>
          <t>ReviewTitle</t>
        </is>
      </c>
      <c r="B7" t="inlineStr">
        <is>
          <t>Cessation of caffeine</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Matteo Bruschettini</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2026-05-10</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2026-08-18</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task-pilot-01-001</t>
        </is>
      </c>
      <c r="B115" t="inlineStr">
        <is>
          <t>Verify Matteo time-on-task values</t>
        </is>
      </c>
      <c r="C115" t="inlineStr">
        <is>
          <t>Krishna / Amin</t>
        </is>
      </c>
      <c r="D115" t="inlineStr">
        <is>
          <t>Complete</t>
        </is>
      </c>
      <c r="E115" t="inlineStr">
        <is>
          <t>Medium</t>
        </is>
      </c>
      <c r="F115" t="inlineStr">
        <is>
          <t>2026-05-10</t>
        </is>
      </c>
      <c r="G115" t="inlineStr">
        <is>
          <t>Matteo self-reported time</t>
        </is>
      </c>
      <c r="H115" t="inlineStr">
        <is>
          <t>Closed; no active follow-up required.</t>
        </is>
      </c>
      <c r="I115" t="inlineStr">
        <is>
          <t>Email</t>
        </is>
      </c>
      <c r="J115" t="inlineStr">
        <is>
          <t>2026-05-07</t>
        </is>
      </c>
      <c r="K115" t="inlineStr">
        <is>
          <t>No</t>
        </is>
      </c>
      <c r="M115" t="inlineStr">
        <is>
          <t>Removed from active dashboard</t>
        </is>
      </c>
    </row>
    <row r="116">
      <c r="A116" t="inlineStr">
        <is>
          <t>task-pilot-01-002</t>
        </is>
      </c>
      <c r="B116" t="inlineStr">
        <is>
          <t>Consolidate usability survey receipt</t>
        </is>
      </c>
      <c r="C116" t="inlineStr">
        <is>
          <t>Susan</t>
        </is>
      </c>
      <c r="D116" t="inlineStr">
        <is>
          <t>Complete</t>
        </is>
      </c>
      <c r="E116" t="inlineStr">
        <is>
          <t>Medium</t>
        </is>
      </c>
      <c r="F116" t="inlineStr">
        <is>
          <t>2026-05-10</t>
        </is>
      </c>
      <c r="G116" t="inlineStr">
        <is>
          <t>Survey access</t>
        </is>
      </c>
      <c r="H116" t="inlineStr">
        <is>
          <t>Closed; no active follow-up required.</t>
        </is>
      </c>
      <c r="I116" t="inlineStr">
        <is>
          <t>Email</t>
        </is>
      </c>
      <c r="J116" t="inlineStr">
        <is>
          <t>2026-05-07</t>
        </is>
      </c>
      <c r="K116" t="inlineStr">
        <is>
          <t>Yes</t>
        </is>
      </c>
    </row>
    <row r="117">
      <c r="A117" t="inlineStr">
        <is>
          <t>task-pilot-01-003</t>
        </is>
      </c>
      <c r="B117" t="inlineStr">
        <is>
          <t>Capture lessons learned before pilot closeout</t>
        </is>
      </c>
      <c r="C117" t="inlineStr">
        <is>
          <t>Krishna / Core Team</t>
        </is>
      </c>
      <c r="D117" t="inlineStr">
        <is>
          <t>Complete</t>
        </is>
      </c>
      <c r="E117" t="inlineStr">
        <is>
          <t>Medium</t>
        </is>
      </c>
      <c r="F117" t="inlineStr">
        <is>
          <t>2026-05-10</t>
        </is>
      </c>
      <c r="G117" t="inlineStr">
        <is>
          <t>Lessons document</t>
        </is>
      </c>
      <c r="H117" t="inlineStr">
        <is>
          <t>Closed; no active follow-up required.</t>
        </is>
      </c>
      <c r="I117" t="inlineStr">
        <is>
          <t>MoM</t>
        </is>
      </c>
      <c r="J117" t="inlineStr">
        <is>
          <t>2026-05-10</t>
        </is>
      </c>
      <c r="K117" t="inlineStr">
        <is>
          <t>Yes</t>
        </is>
      </c>
    </row>
    <row r="119">
      <c r="A119" s="5" t="inlineStr">
        <is>
          <t>Recent Mail / Communication Log Displayed in Dashboard</t>
        </is>
      </c>
      <c r="B119" s="5" t="n"/>
      <c r="C119" s="5" t="n"/>
      <c r="D119" s="5" t="n"/>
      <c r="E119" s="5" t="n"/>
      <c r="F119" s="5" t="n"/>
      <c r="G119" s="5" t="n"/>
      <c r="H119" s="5" t="n"/>
      <c r="I119" s="5" t="n"/>
      <c r="J119" s="5" t="n"/>
    </row>
    <row r="120">
      <c r="A120" s="1" t="inlineStr">
        <is>
          <t>CommunicationID</t>
        </is>
      </c>
      <c r="B120" s="1" t="inlineStr">
        <is>
          <t>Date</t>
        </is>
      </c>
      <c r="C120" s="1" t="inlineStr">
        <is>
          <t>Subject</t>
        </is>
      </c>
      <c r="D120" s="1" t="inlineStr">
        <is>
          <t>People</t>
        </is>
      </c>
      <c r="E120" s="1" t="inlineStr">
        <is>
          <t>Responsible</t>
        </is>
      </c>
      <c r="F120" s="1" t="inlineStr">
        <is>
          <t>DueDate</t>
        </is>
      </c>
      <c r="G120" s="1" t="inlineStr">
        <is>
          <t>Status</t>
        </is>
      </c>
      <c r="H120" s="1" t="inlineStr">
        <is>
          <t>Summary</t>
        </is>
      </c>
      <c r="I120" s="1" t="inlineStr">
        <is>
          <t>LinkedTaskID</t>
        </is>
      </c>
      <c r="J120" s="1" t="inlineStr">
        <is>
          <t>LinkedAction</t>
        </is>
      </c>
      <c r="K120" s="1" t="inlineStr">
        <is>
          <t>SourceType</t>
        </is>
      </c>
      <c r="L120" s="1" t="inlineStr">
        <is>
          <t>SourceLink</t>
        </is>
      </c>
      <c r="M120" s="1" t="inlineStr">
        <is>
          <t>Display</t>
        </is>
      </c>
    </row>
    <row r="121">
      <c r="A121" t="inlineStr">
        <is>
          <t>comm-pilot-01-001</t>
        </is>
      </c>
      <c r="B121" t="inlineStr">
        <is>
          <t>2026-05-07</t>
        </is>
      </c>
      <c r="C121" t="inlineStr">
        <is>
          <t>Pilot time-on-task update</t>
        </is>
      </c>
      <c r="D121" t="inlineStr">
        <is>
          <t>Matteo Bruschettini</t>
        </is>
      </c>
      <c r="E121" t="inlineStr">
        <is>
          <t>Krishna / Amin</t>
        </is>
      </c>
      <c r="F121" t="inlineStr">
        <is>
          <t>2026-05-10</t>
        </is>
      </c>
      <c r="G121" t="inlineStr">
        <is>
          <t>Closed</t>
        </is>
      </c>
      <c r="H121" t="inlineStr">
        <is>
          <t>Closed; no active follow-up required.</t>
        </is>
      </c>
      <c r="I121" t="inlineStr">
        <is>
          <t>task-pilot-01-001</t>
        </is>
      </c>
      <c r="J121" t="inlineStr">
        <is>
          <t>Verify Matteo time-on-task values</t>
        </is>
      </c>
      <c r="K121" t="inlineStr">
        <is>
          <t>Email</t>
        </is>
      </c>
      <c r="M121" t="inlineStr">
        <is>
          <t>No</t>
        </is>
      </c>
    </row>
    <row r="122">
      <c r="A122" t="inlineStr">
        <is>
          <t>comm-pilot-01-002</t>
        </is>
      </c>
      <c r="B122" t="inlineStr">
        <is>
          <t>2026-05-07</t>
        </is>
      </c>
      <c r="C122" t="inlineStr">
        <is>
          <t>Pilot survey completion update</t>
        </is>
      </c>
      <c r="D122" t="inlineStr">
        <is>
          <t>Matteo Bruschettini</t>
        </is>
      </c>
      <c r="E122" t="inlineStr">
        <is>
          <t>Krishna / Susan</t>
        </is>
      </c>
      <c r="F122" t="inlineStr">
        <is>
          <t>2026-05-10</t>
        </is>
      </c>
      <c r="G122" t="inlineStr">
        <is>
          <t>Closed</t>
        </is>
      </c>
      <c r="H122" t="inlineStr">
        <is>
          <t>Closed; no active follow-up required.</t>
        </is>
      </c>
      <c r="I122" t="inlineStr">
        <is>
          <t>task-pilot-01-002</t>
        </is>
      </c>
      <c r="J122" t="inlineStr">
        <is>
          <t>Consolidate usability survey receipt</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Full-text time not reported</t>
        </is>
      </c>
      <c r="B126" t="inlineStr">
        <is>
          <t>Medium</t>
        </is>
      </c>
      <c r="E126" t="inlineStr">
        <is>
          <t>Closed</t>
        </is>
      </c>
      <c r="F126" t="inlineStr">
        <is>
          <t>Closed; no active follow-up required.</t>
        </is>
      </c>
      <c r="G126"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7.xml><?xml version="1.0" encoding="utf-8"?>
<worksheet xmlns="http://schemas.openxmlformats.org/spreadsheetml/2006/main">
  <sheetPr>
    <outlinePr summaryBelow="1" summaryRight="1"/>
    <pageSetUpPr/>
  </sheetPr>
  <dimension ref="A1:M124"/>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pilot-02 DMARDs RA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pilot-02</t>
        </is>
      </c>
      <c r="C5" t="inlineStr">
        <is>
          <t>Yes</t>
        </is>
      </c>
    </row>
    <row r="6">
      <c r="A6" t="inlineStr">
        <is>
          <t>ShortName</t>
        </is>
      </c>
      <c r="B6" t="inlineStr">
        <is>
          <t>DMARDs / RA</t>
        </is>
      </c>
      <c r="C6" t="inlineStr">
        <is>
          <t>Yes</t>
        </is>
      </c>
    </row>
    <row r="7">
      <c r="A7" t="inlineStr">
        <is>
          <t>ReviewTitle</t>
        </is>
      </c>
      <c r="B7" t="inlineStr">
        <is>
          <t>DMARDs / Rheumatoid arthritis</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Jordi Pardo Pardo / Glen Hazlewood</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2026-05-13</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2026-08-18</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task-pilot-02-001</t>
        </is>
      </c>
      <c r="B115" t="inlineStr">
        <is>
          <t>Confirm latest Laser AI progress and outputs</t>
        </is>
      </c>
      <c r="C115" t="inlineStr">
        <is>
          <t>Sean / Laser AI / Review Team</t>
        </is>
      </c>
      <c r="D115" t="inlineStr">
        <is>
          <t>Complete</t>
        </is>
      </c>
      <c r="E115" t="inlineStr">
        <is>
          <t>Medium</t>
        </is>
      </c>
      <c r="F115" t="inlineStr">
        <is>
          <t>2026-05-13</t>
        </is>
      </c>
      <c r="G115" t="inlineStr">
        <is>
          <t>Vendor/team update</t>
        </is>
      </c>
      <c r="H115" t="inlineStr">
        <is>
          <t>Closed; no active follow-up required.</t>
        </is>
      </c>
      <c r="I115" t="inlineStr">
        <is>
          <t>MoM</t>
        </is>
      </c>
      <c r="J115" t="inlineStr">
        <is>
          <t>2026-05-10</t>
        </is>
      </c>
      <c r="K115" t="inlineStr">
        <is>
          <t>Yes</t>
        </is>
      </c>
    </row>
    <row r="116">
      <c r="A116" t="inlineStr">
        <is>
          <t>task-pilot-02-002</t>
        </is>
      </c>
      <c r="B116" t="inlineStr">
        <is>
          <t>Confirm whether outputs can move toward adjudication preparation</t>
        </is>
      </c>
      <c r="C116" t="inlineStr">
        <is>
          <t>Sean / Laser AI / Review Team</t>
        </is>
      </c>
      <c r="D116" t="inlineStr">
        <is>
          <t>Complete</t>
        </is>
      </c>
      <c r="E116" t="inlineStr">
        <is>
          <t>Medium</t>
        </is>
      </c>
      <c r="F116" t="inlineStr">
        <is>
          <t>2026-05-13</t>
        </is>
      </c>
      <c r="G116" t="inlineStr">
        <is>
          <t>Pilot completion status</t>
        </is>
      </c>
      <c r="H116" t="inlineStr">
        <is>
          <t>Closed; no active follow-up required.</t>
        </is>
      </c>
      <c r="I116" t="inlineStr">
        <is>
          <t>MoM</t>
        </is>
      </c>
      <c r="J116" t="inlineStr">
        <is>
          <t>2026-05-10</t>
        </is>
      </c>
      <c r="K116" t="inlineStr">
        <is>
          <t>Yes</t>
        </is>
      </c>
    </row>
    <row r="118">
      <c r="A118" s="5" t="inlineStr">
        <is>
          <t>Recent Mail / Communication Log Displayed in Dashboard</t>
        </is>
      </c>
      <c r="B118" s="5" t="n"/>
      <c r="C118" s="5" t="n"/>
      <c r="D118" s="5" t="n"/>
      <c r="E118" s="5" t="n"/>
      <c r="F118" s="5" t="n"/>
      <c r="G118" s="5" t="n"/>
      <c r="H118" s="5" t="n"/>
      <c r="I118" s="5" t="n"/>
      <c r="J118" s="5" t="n"/>
    </row>
    <row r="119">
      <c r="A119" s="1" t="inlineStr">
        <is>
          <t>CommunicationID</t>
        </is>
      </c>
      <c r="B119" s="1" t="inlineStr">
        <is>
          <t>Date</t>
        </is>
      </c>
      <c r="C119" s="1" t="inlineStr">
        <is>
          <t>Subject</t>
        </is>
      </c>
      <c r="D119" s="1" t="inlineStr">
        <is>
          <t>People</t>
        </is>
      </c>
      <c r="E119" s="1" t="inlineStr">
        <is>
          <t>Responsible</t>
        </is>
      </c>
      <c r="F119" s="1" t="inlineStr">
        <is>
          <t>DueDate</t>
        </is>
      </c>
      <c r="G119" s="1" t="inlineStr">
        <is>
          <t>Status</t>
        </is>
      </c>
      <c r="H119" s="1" t="inlineStr">
        <is>
          <t>Summary</t>
        </is>
      </c>
      <c r="I119" s="1" t="inlineStr">
        <is>
          <t>LinkedTaskID</t>
        </is>
      </c>
      <c r="J119" s="1" t="inlineStr">
        <is>
          <t>LinkedAction</t>
        </is>
      </c>
      <c r="K119" s="1" t="inlineStr">
        <is>
          <t>SourceType</t>
        </is>
      </c>
      <c r="L119" s="1" t="inlineStr">
        <is>
          <t>SourceLink</t>
        </is>
      </c>
      <c r="M119" s="1" t="inlineStr">
        <is>
          <t>Display</t>
        </is>
      </c>
    </row>
    <row r="120">
      <c r="A120" t="inlineStr">
        <is>
          <t>comm-pilot-02-001</t>
        </is>
      </c>
      <c r="B120" t="inlineStr">
        <is>
          <t>2026-05-10</t>
        </is>
      </c>
      <c r="C120" t="inlineStr">
        <is>
          <t>DMARDs pilot completion follow-up</t>
        </is>
      </c>
      <c r="D120" t="inlineStr">
        <is>
          <t>Core Team / Sean</t>
        </is>
      </c>
      <c r="E120" t="inlineStr">
        <is>
          <t>Sean / Laser AI / Review Team</t>
        </is>
      </c>
      <c r="F120" t="inlineStr">
        <is>
          <t>2026-05-13</t>
        </is>
      </c>
      <c r="G120" t="inlineStr">
        <is>
          <t>Closed</t>
        </is>
      </c>
      <c r="H120" t="inlineStr">
        <is>
          <t>Closed; no active follow-up required.</t>
        </is>
      </c>
      <c r="I120" t="inlineStr">
        <is>
          <t>task-pilot-02-001</t>
        </is>
      </c>
      <c r="J120" t="inlineStr">
        <is>
          <t>Confirm latest Laser AI progress and outputs</t>
        </is>
      </c>
      <c r="K120" t="inlineStr">
        <is>
          <t>MoM</t>
        </is>
      </c>
      <c r="M120" t="inlineStr">
        <is>
          <t>Yes</t>
        </is>
      </c>
    </row>
    <row r="122">
      <c r="A122" s="5" t="inlineStr">
        <is>
          <t>Critical Items Displayed in Dashboard</t>
        </is>
      </c>
      <c r="B122" s="5" t="n"/>
      <c r="C122" s="5" t="n"/>
      <c r="D122" s="5" t="n"/>
      <c r="E122" s="5" t="n"/>
      <c r="F122" s="5" t="n"/>
      <c r="G122" s="5" t="n"/>
      <c r="H122" s="5" t="n"/>
      <c r="I122" s="5" t="n"/>
      <c r="J122" s="5" t="n"/>
    </row>
    <row r="123">
      <c r="A123" s="1" t="inlineStr">
        <is>
          <t>CriticalItem</t>
        </is>
      </c>
      <c r="B123" s="1" t="inlineStr">
        <is>
          <t>Severity</t>
        </is>
      </c>
      <c r="C123" s="1" t="inlineStr">
        <is>
          <t>Owner</t>
        </is>
      </c>
      <c r="D123" s="1" t="inlineStr">
        <is>
          <t>DueDate</t>
        </is>
      </c>
      <c r="E123" s="1" t="inlineStr">
        <is>
          <t>Status</t>
        </is>
      </c>
      <c r="F123" s="1" t="inlineStr">
        <is>
          <t>Notes</t>
        </is>
      </c>
      <c r="G123" s="1" t="inlineStr">
        <is>
          <t>Display</t>
        </is>
      </c>
    </row>
    <row r="124">
      <c r="A124" t="inlineStr">
        <is>
          <t>Pilot output status unclear</t>
        </is>
      </c>
      <c r="B124" t="inlineStr">
        <is>
          <t>Medium</t>
        </is>
      </c>
      <c r="E124" t="inlineStr">
        <is>
          <t>Closed</t>
        </is>
      </c>
      <c r="F124" t="inlineStr">
        <is>
          <t>Closed; no active follow-up required.</t>
        </is>
      </c>
      <c r="G124"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8.xml><?xml version="1.0" encoding="utf-8"?>
<worksheet xmlns="http://schemas.openxmlformats.org/spreadsheetml/2006/main">
  <sheetPr>
    <outlinePr summaryBelow="1" summaryRight="1"/>
    <pageSetUpPr/>
  </sheetPr>
  <dimension ref="A1:M146"/>
  <sheetViews>
    <sheetView topLeftCell="A12" zoomScaleNormal="100"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phase1-01 BP Targets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phase1-01</t>
        </is>
      </c>
      <c r="C5" t="inlineStr">
        <is>
          <t>Yes</t>
        </is>
      </c>
    </row>
    <row r="6">
      <c r="A6" t="inlineStr">
        <is>
          <t>ShortName</t>
        </is>
      </c>
      <c r="B6" t="inlineStr">
        <is>
          <t>BP Targets</t>
        </is>
      </c>
      <c r="C6" t="inlineStr">
        <is>
          <t>Yes</t>
        </is>
      </c>
    </row>
    <row r="7">
      <c r="A7" t="inlineStr">
        <is>
          <t>ReviewTitle</t>
        </is>
      </c>
      <c r="B7" t="inlineStr">
        <is>
          <t>Blood pressure targets for hypertension in people with diabetes mellitus</t>
        </is>
      </c>
      <c r="C7" t="inlineStr">
        <is>
          <t>Yes</t>
        </is>
      </c>
    </row>
    <row r="8">
      <c r="A8" t="inlineStr">
        <is>
          <t>Phase</t>
        </is>
      </c>
      <c r="B8" t="inlineStr">
        <is>
          <t>Phase 1</t>
        </is>
      </c>
      <c r="C8" t="inlineStr">
        <is>
          <t>Yes</t>
        </is>
      </c>
    </row>
    <row r="9">
      <c r="A9" t="inlineStr">
        <is>
          <t>Status</t>
        </is>
      </c>
      <c r="B9" t="inlineStr">
        <is>
          <t>Analysis underway; reference-standard clarification pending</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Doreen Larvie</t>
        </is>
      </c>
      <c r="C12" t="inlineStr">
        <is>
          <t>Yes</t>
        </is>
      </c>
    </row>
    <row r="13">
      <c r="A13" t="inlineStr">
        <is>
          <t>CurrentStage</t>
        </is>
      </c>
      <c r="B13" t="inlineStr">
        <is>
          <t>Both extraction outputs received; Sean is analysing the results and awaiting reference-standard clarification</t>
        </is>
      </c>
      <c r="C13" t="inlineStr">
        <is>
          <t>Yes</t>
        </is>
      </c>
    </row>
    <row r="14">
      <c r="A14" t="inlineStr">
        <is>
          <t>CurrentUpdate</t>
        </is>
      </c>
      <c r="B14" t="inlineStr">
        <is>
          <t>Sean has begun analysing the project data; clarification requested from Doreen on the Study Tree file</t>
        </is>
      </c>
      <c r="C14" t="inlineStr">
        <is>
          <t>Yes</t>
        </is>
      </c>
    </row>
    <row r="15">
      <c r="A15" t="inlineStr">
        <is>
          <t>NextAction</t>
        </is>
      </c>
      <c r="B15" t="inlineStr">
        <is>
          <t>Confirm whether the Study Tree represents the final post-extraction reference standard, then continue comparison</t>
        </is>
      </c>
      <c r="C15" t="inlineStr">
        <is>
          <t>Yes</t>
        </is>
      </c>
    </row>
    <row r="16">
      <c r="A16" t="inlineStr">
        <is>
          <t>TargetDate</t>
        </is>
      </c>
      <c r="B16" t="inlineStr">
        <is>
          <t>Awaiting review-team clarification</t>
        </is>
      </c>
      <c r="C16" t="inlineStr">
        <is>
          <t>Yes</t>
        </is>
      </c>
    </row>
    <row r="17" ht="84" customHeight="1" s="29">
      <c r="A17" t="inlineStr">
        <is>
          <t>Variance</t>
        </is>
      </c>
      <c r="B17" s="23" t="inlineStr">
        <is>
          <t>Analysis underway; final reference standard not yet confirmed</t>
        </is>
      </c>
      <c r="C17" t="inlineStr">
        <is>
          <t>Yes</t>
        </is>
      </c>
    </row>
    <row r="18">
      <c r="A18" t="inlineStr">
        <is>
          <t>Assessment</t>
        </is>
      </c>
      <c r="B18" t="inlineStr">
        <is>
          <t>Waiting on Others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2026-08-24</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Complete</t>
        </is>
      </c>
      <c r="F27" t="inlineStr">
        <is>
          <t>Yes</t>
        </is>
      </c>
    </row>
    <row r="28">
      <c r="A28" t="inlineStr">
        <is>
          <t>extraction</t>
        </is>
      </c>
      <c r="B28" t="inlineStr">
        <is>
          <t>Complete</t>
        </is>
      </c>
      <c r="F28" t="inlineStr">
        <is>
          <t>Yes</t>
        </is>
      </c>
    </row>
    <row r="29">
      <c r="A29" t="inlineStr">
        <is>
          <t>analysis</t>
        </is>
      </c>
      <c r="B29" t="inlineStr">
        <is>
          <t>Active</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Ready</t>
        </is>
      </c>
      <c r="G35" t="inlineStr">
        <is>
          <t>Yes</t>
        </is>
      </c>
    </row>
    <row r="36">
      <c r="A36" t="inlineStr">
        <is>
          <t>Extraction</t>
        </is>
      </c>
      <c r="B36" t="inlineStr">
        <is>
          <t>Yes</t>
        </is>
      </c>
      <c r="C36" t="inlineStr">
        <is>
          <t>Conventional and Laser AI extraction outputs received</t>
        </is>
      </c>
      <c r="G36" t="inlineStr">
        <is>
          <t>Yes</t>
        </is>
      </c>
    </row>
    <row r="37">
      <c r="A37" t="inlineStr">
        <is>
          <t>Protocol</t>
        </is>
      </c>
      <c r="B37" t="inlineStr">
        <is>
          <t>Yes</t>
        </is>
      </c>
      <c r="C37" t="inlineStr">
        <is>
          <t>Ready</t>
        </is>
      </c>
      <c r="G37" t="inlineStr">
        <is>
          <t>Yes</t>
        </is>
      </c>
    </row>
    <row r="38">
      <c r="A38" t="inlineStr">
        <is>
          <t>Time Log</t>
        </is>
      </c>
      <c r="B38" t="inlineStr">
        <is>
          <t>Yes</t>
        </is>
      </c>
      <c r="C38" t="inlineStr">
        <is>
          <t>Conventional and AI time reports received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inlineStr">
        <is>
          <t>100</t>
        </is>
      </c>
      <c r="C42" t="inlineStr">
        <is>
          <t>100</t>
        </is>
      </c>
      <c r="D42" t="inlineStr">
        <is>
          <t>Complete</t>
        </is>
      </c>
      <c r="H42" t="inlineStr">
        <is>
          <t>Yes</t>
        </is>
      </c>
    </row>
    <row r="43">
      <c r="A43" t="inlineStr">
        <is>
          <t>Abstract Screening</t>
        </is>
      </c>
      <c r="B43" t="inlineStr">
        <is>
          <t>100</t>
        </is>
      </c>
      <c r="C43" t="inlineStr">
        <is>
          <t>100</t>
        </is>
      </c>
      <c r="D43" t="inlineStr">
        <is>
          <t>Complete</t>
        </is>
      </c>
      <c r="H43" t="inlineStr">
        <is>
          <t>Yes</t>
        </is>
      </c>
    </row>
    <row r="44">
      <c r="A44" t="inlineStr">
        <is>
          <t>Full-text Screening</t>
        </is>
      </c>
      <c r="B44" t="inlineStr">
        <is>
          <t>100</t>
        </is>
      </c>
      <c r="C44" t="inlineStr">
        <is>
          <t>100</t>
        </is>
      </c>
      <c r="D44" t="inlineStr">
        <is>
          <t>Complete</t>
        </is>
      </c>
      <c r="H44" t="inlineStr">
        <is>
          <t>Yes</t>
        </is>
      </c>
    </row>
    <row r="45">
      <c r="A45" t="inlineStr">
        <is>
          <t>Data Extraction / Analysis</t>
        </is>
      </c>
      <c r="B45" t="inlineStr">
        <is>
          <t>100</t>
        </is>
      </c>
      <c r="C45" t="inlineStr">
        <is>
          <t>100</t>
        </is>
      </c>
      <c r="D45" t="inlineStr">
        <is>
          <t>Extraction complete; analysis underway</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inlineStr">
        <is>
          <t>Project data available to Sean for analysis</t>
        </is>
      </c>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Complete</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Complete</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Complete</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Complete</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Complete</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Complete</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Complete</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Complete</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Complete</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Complete</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Complete</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Under Review</t>
        </is>
      </c>
      <c r="J102" s="18" t="n"/>
      <c r="K102" s="18" t="n"/>
      <c r="L102" s="18" t="inlineStr">
        <is>
          <t>Sean is reviewing discrepancies; final reference-standard definition pending</t>
        </is>
      </c>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Pending</t>
        </is>
      </c>
      <c r="J103" s="18" t="n"/>
      <c r="K103" s="18" t="n"/>
      <c r="L103" s="18" t="inlineStr">
        <is>
          <t>Prepare after Doreen confirms the final included-study reference standard</t>
        </is>
      </c>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task-phase1-01-001</t>
        </is>
      </c>
      <c r="B115" t="inlineStr">
        <is>
          <t>Complete Laser AI setup readiness</t>
        </is>
      </c>
      <c r="C115" t="inlineStr">
        <is>
          <t>Response Team / Laser AI</t>
        </is>
      </c>
      <c r="D115" t="inlineStr">
        <is>
          <t>In Progress</t>
        </is>
      </c>
      <c r="E115" t="inlineStr">
        <is>
          <t>Medium</t>
        </is>
      </c>
      <c r="F115" t="inlineStr">
        <is>
          <t>2026-05-15</t>
        </is>
      </c>
      <c r="G115" t="inlineStr">
        <is>
          <t>Final data items and review materials</t>
        </is>
      </c>
      <c r="H115" t="inlineStr">
        <is>
          <t>Proceed with Laser AI setup using the final data items file uploaded by Sean.</t>
        </is>
      </c>
      <c r="I115" t="inlineStr">
        <is>
          <t>Email</t>
        </is>
      </c>
      <c r="J115" t="inlineStr">
        <is>
          <t>2026-05-14</t>
        </is>
      </c>
      <c r="K115" t="inlineStr">
        <is>
          <t>No</t>
        </is>
      </c>
    </row>
    <row r="116">
      <c r="A116" t="inlineStr">
        <is>
          <t>task-phase1-01-002</t>
        </is>
      </c>
      <c r="B116" t="inlineStr">
        <is>
          <t>Confirm use of final data items file</t>
        </is>
      </c>
      <c r="C116" t="inlineStr">
        <is>
          <t>Sean / Meghan / Response Team</t>
        </is>
      </c>
      <c r="D116" t="inlineStr">
        <is>
          <t>Complete</t>
        </is>
      </c>
      <c r="E116" t="inlineStr">
        <is>
          <t>Low</t>
        </is>
      </c>
      <c r="F116" t="inlineStr">
        <is>
          <t>2026-05-15</t>
        </is>
      </c>
      <c r="G116" t="inlineStr">
        <is>
          <t>Final data items file</t>
        </is>
      </c>
      <c r="H116" t="inlineStr">
        <is>
          <t>Sean uploaded the final data items file and Doreen confirmed the final change makes sense.</t>
        </is>
      </c>
      <c r="I116" t="inlineStr">
        <is>
          <t>Email</t>
        </is>
      </c>
      <c r="J116" t="inlineStr">
        <is>
          <t>2026-05-14</t>
        </is>
      </c>
      <c r="K116" t="inlineStr">
        <is>
          <t>No</t>
        </is>
      </c>
    </row>
    <row r="117">
      <c r="A117" t="inlineStr">
        <is>
          <t>task-phase1-01-003</t>
        </is>
      </c>
      <c r="B117" t="inlineStr">
        <is>
          <t>Confirm Clockify or alternate time-tracking setup</t>
        </is>
      </c>
      <c r="C117" t="inlineStr">
        <is>
          <t>Krishna</t>
        </is>
      </c>
      <c r="D117" t="inlineStr">
        <is>
          <t>Complete</t>
        </is>
      </c>
      <c r="E117" t="inlineStr">
        <is>
          <t>Medium</t>
        </is>
      </c>
      <c r="F117" t="inlineStr">
        <is>
          <t>Immediate</t>
        </is>
      </c>
      <c r="G117" t="inlineStr">
        <is>
          <t>Reviewer time capture</t>
        </is>
      </c>
      <c r="H117" t="inlineStr">
        <is>
          <t>Offer Clockify or a simple manual stopwatch/Excel method if easier for the review team.</t>
        </is>
      </c>
      <c r="I117" t="inlineStr">
        <is>
          <t>MoM</t>
        </is>
      </c>
      <c r="J117" t="inlineStr">
        <is>
          <t>2026-05-10</t>
        </is>
      </c>
      <c r="K117" t="inlineStr">
        <is>
          <t>No</t>
        </is>
      </c>
    </row>
    <row r="118">
      <c r="A118" t="inlineStr">
        <is>
          <t>task-phase1-01-004</t>
        </is>
      </c>
      <c r="B118" t="inlineStr">
        <is>
          <t>Validate abstract screening setup before screening starts</t>
        </is>
      </c>
      <c r="C118" t="inlineStr">
        <is>
          <t>Review Team / Response Team</t>
        </is>
      </c>
      <c r="D118" t="inlineStr">
        <is>
          <t>Pending</t>
        </is>
      </c>
      <c r="E118" t="inlineStr">
        <is>
          <t>Medium</t>
        </is>
      </c>
      <c r="F118" t="inlineStr">
        <is>
          <t>After setup</t>
        </is>
      </c>
      <c r="G118" t="inlineStr">
        <is>
          <t>Setup completion</t>
        </is>
      </c>
      <c r="H118" t="inlineStr">
        <is>
          <t>Do not mark abstract screening active until the setup is validated and reviewers begin screening.</t>
        </is>
      </c>
      <c r="I118" t="inlineStr">
        <is>
          <t>Project tracking</t>
        </is>
      </c>
      <c r="J118" t="inlineStr">
        <is>
          <t>2026-05-14</t>
        </is>
      </c>
      <c r="K118" t="inlineStr">
        <is>
          <t>No</t>
        </is>
      </c>
    </row>
    <row r="119" ht="42" customHeight="1" s="29">
      <c r="A119" s="23" t="inlineStr">
        <is>
          <t>task-phase1-01-005</t>
        </is>
      </c>
      <c r="B119" s="23" t="inlineStr">
        <is>
          <t>Confirm AI abstract screening completion</t>
        </is>
      </c>
      <c r="C119" s="23" t="inlineStr">
        <is>
          <t>Review Team / Response Team</t>
        </is>
      </c>
      <c r="D119" s="23" t="inlineStr">
        <is>
          <t>Complete</t>
        </is>
      </c>
      <c r="E119" s="23" t="inlineStr">
        <is>
          <t>Low</t>
        </is>
      </c>
      <c r="F119" s="27" t="n">
        <v>46169</v>
      </c>
      <c r="G119" s="23" t="inlineStr">
        <is>
          <t>AI screening completion</t>
        </is>
      </c>
      <c r="H119" s="23" t="inlineStr">
        <is>
          <t>Survey shared after AI screening completion</t>
        </is>
      </c>
      <c r="I119" s="23" t="inlineStr">
        <is>
          <t>Email</t>
        </is>
      </c>
      <c r="J119" s="27" t="n">
        <v>46169</v>
      </c>
      <c r="K119" s="23" t="inlineStr">
        <is>
          <t>Yes</t>
        </is>
      </c>
    </row>
    <row r="120" ht="42" customHeight="1" s="29">
      <c r="A120" s="23" t="inlineStr">
        <is>
          <t>task-phase1-01-006</t>
        </is>
      </c>
      <c r="B120" s="23" t="inlineStr">
        <is>
          <t>Collect AI abstract screening usability survey</t>
        </is>
      </c>
      <c r="C120" s="23" t="inlineStr">
        <is>
          <t>Review Team</t>
        </is>
      </c>
      <c r="D120" s="23" t="inlineStr">
        <is>
          <t>In Progress</t>
        </is>
      </c>
      <c r="E120" s="23" t="inlineStr">
        <is>
          <t>Medium</t>
        </is>
      </c>
      <c r="F120" s="27" t="n">
        <v>46173</v>
      </c>
      <c r="G120" s="23" t="inlineStr">
        <is>
          <t>AI abstract screening completion</t>
        </is>
      </c>
      <c r="H120" s="23" t="inlineStr">
        <is>
          <t>Survey shared with review team</t>
        </is>
      </c>
      <c r="I120" s="23" t="inlineStr">
        <is>
          <t>Email</t>
        </is>
      </c>
      <c r="J120" s="27" t="n">
        <v>46169</v>
      </c>
      <c r="K120" s="23" t="inlineStr">
        <is>
          <t>Yes</t>
        </is>
      </c>
    </row>
    <row r="121" ht="42" customHeight="1" s="29">
      <c r="A121" s="23" t="inlineStr">
        <is>
          <t>task-phase1-01-007</t>
        </is>
      </c>
      <c r="B121" s="23" t="inlineStr">
        <is>
          <t>Confirm human abstract screening status</t>
        </is>
      </c>
      <c r="C121" s="23" t="inlineStr">
        <is>
          <t>Doreen Larvie / Review Team</t>
        </is>
      </c>
      <c r="D121" s="23" t="inlineStr">
        <is>
          <t>Complete</t>
        </is>
      </c>
      <c r="E121" s="23" t="inlineStr">
        <is>
          <t>High</t>
        </is>
      </c>
      <c r="F121" s="23" t="inlineStr">
        <is>
          <t>Immediate</t>
        </is>
      </c>
      <c r="G121" s="23" t="inlineStr">
        <is>
          <t>Parallel workflow tracking</t>
        </is>
      </c>
      <c r="H121" s="23" t="inlineStr">
        <is>
          <t>Asked team to confirm human screening status and time log</t>
        </is>
      </c>
      <c r="I121" s="23" t="inlineStr">
        <is>
          <t>Email</t>
        </is>
      </c>
      <c r="J121" s="27" t="n">
        <v>46169</v>
      </c>
      <c r="K121" s="23" t="inlineStr">
        <is>
          <t>Yes</t>
        </is>
      </c>
    </row>
    <row r="122" ht="28" customHeight="1" s="29">
      <c r="A122" s="23" t="inlineStr">
        <is>
          <t>task-phase1-01-008</t>
        </is>
      </c>
      <c r="B122" s="23" t="inlineStr">
        <is>
          <t>Confirm abstract screening time log</t>
        </is>
      </c>
      <c r="C122" s="23" t="inlineStr">
        <is>
          <t>Doreen Larvie / Review Team</t>
        </is>
      </c>
      <c r="D122" s="23" t="inlineStr">
        <is>
          <t>Complete</t>
        </is>
      </c>
      <c r="E122" s="23" t="inlineStr">
        <is>
          <t>Medium</t>
        </is>
      </c>
      <c r="F122" s="23" t="inlineStr">
        <is>
          <t>Immediate</t>
        </is>
      </c>
      <c r="G122" s="23" t="inlineStr">
        <is>
          <t>Human screening status confirmation</t>
        </is>
      </c>
      <c r="H122" s="23" t="inlineStr">
        <is>
          <t>Time recording needed for study analysis</t>
        </is>
      </c>
      <c r="I122" s="23" t="inlineStr">
        <is>
          <t>Email</t>
        </is>
      </c>
      <c r="J122" s="27" t="n">
        <v>46169</v>
      </c>
      <c r="K122" s="23" t="inlineStr">
        <is>
          <t>Yes</t>
        </is>
      </c>
    </row>
    <row r="123" s="29"/>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comm-phase1-01-001</t>
        </is>
      </c>
      <c r="B130" t="inlineStr">
        <is>
          <t>2026-05-14</t>
        </is>
      </c>
      <c r="C130" t="inlineStr">
        <is>
          <t>BP Targets data items finalization</t>
        </is>
      </c>
      <c r="D130" t="inlineStr">
        <is>
          <t>Sean Gardner</t>
        </is>
      </c>
      <c r="E130" t="inlineStr">
        <is>
          <t>Sean / Meghan / Response Team</t>
        </is>
      </c>
      <c r="F130" t="inlineStr">
        <is>
          <t>2026-05-15</t>
        </is>
      </c>
      <c r="G130" t="inlineStr">
        <is>
          <t>Complete / Under Review</t>
        </is>
      </c>
      <c r="H130" t="inlineStr">
        <is>
          <t>Sean uploaded the final data items file after moving the instruction “Record timepoint, if applicable” into the instruction field for outcome data items.</t>
        </is>
      </c>
      <c r="I130" t="inlineStr">
        <is>
          <t>task-phase1-01-002</t>
        </is>
      </c>
      <c r="J130" t="inlineStr">
        <is>
          <t>Confirm use of final data items file</t>
        </is>
      </c>
      <c r="K130" t="inlineStr">
        <is>
          <t>Email</t>
        </is>
      </c>
      <c r="M130" t="inlineStr">
        <is>
          <t>No</t>
        </is>
      </c>
    </row>
    <row r="131">
      <c r="A131" t="inlineStr">
        <is>
          <t>comm-phase1-01-002</t>
        </is>
      </c>
      <c r="B131" t="inlineStr">
        <is>
          <t>2026-05-14</t>
        </is>
      </c>
      <c r="C131" t="inlineStr">
        <is>
          <t>BP Targets confirmation</t>
        </is>
      </c>
      <c r="D131" t="inlineStr">
        <is>
          <t>Doreen Larvie</t>
        </is>
      </c>
      <c r="E131" t="inlineStr">
        <is>
          <t>Krishna / Response Team</t>
        </is>
      </c>
      <c r="F131" t="inlineStr">
        <is>
          <t>2026-05-15</t>
        </is>
      </c>
      <c r="G131" t="inlineStr">
        <is>
          <t>Complete</t>
        </is>
      </c>
      <c r="H131" t="inlineStr">
        <is>
          <t>Doreen confirmed that Sean’s final minor change makes sense.</t>
        </is>
      </c>
      <c r="I131" t="inlineStr">
        <is>
          <t>task-phase1-01-002</t>
        </is>
      </c>
      <c r="J131" t="inlineStr">
        <is>
          <t>Confirm use of final data items file</t>
        </is>
      </c>
      <c r="K131" t="inlineStr">
        <is>
          <t>Email</t>
        </is>
      </c>
      <c r="M131" t="inlineStr">
        <is>
          <t>No</t>
        </is>
      </c>
    </row>
    <row r="132">
      <c r="A132" t="inlineStr">
        <is>
          <t>comm-phase1-01-003</t>
        </is>
      </c>
      <c r="B132" t="inlineStr">
        <is>
          <t>2026-05-14</t>
        </is>
      </c>
      <c r="C132" t="inlineStr">
        <is>
          <t>BP Targets team check-in invitation</t>
        </is>
      </c>
      <c r="D132" t="inlineStr">
        <is>
          <t>Krishna</t>
        </is>
      </c>
      <c r="E132" t="inlineStr">
        <is>
          <t>Doreen Larvie / Review Team</t>
        </is>
      </c>
      <c r="F132" t="inlineStr">
        <is>
          <t>2026-05-19</t>
        </is>
      </c>
      <c r="G132" t="inlineStr">
        <is>
          <t>Sent</t>
        </is>
      </c>
      <c r="H132" t="inlineStr">
        <is>
          <t>Check-in email sent to understand progress, issues encountered, and support needs for the Blood pressure targets review.</t>
        </is>
      </c>
      <c r="I132" t="inlineStr">
        <is>
          <t>task-phase1-01-004</t>
        </is>
      </c>
      <c r="J132" t="inlineStr">
        <is>
          <t>Validate abstract screening setup before screening starts</t>
        </is>
      </c>
      <c r="K132" t="inlineStr">
        <is>
          <t>Email</t>
        </is>
      </c>
      <c r="M132" t="inlineStr">
        <is>
          <t>No</t>
        </is>
      </c>
    </row>
    <row r="133" ht="42" customHeight="1" s="29">
      <c r="A133" s="23" t="inlineStr">
        <is>
          <t>comm-phase1-01-004</t>
        </is>
      </c>
      <c r="B133" s="27" t="n">
        <v>46169</v>
      </c>
      <c r="C133" s="23" t="inlineStr">
        <is>
          <t>BP Targets abstract screening survey</t>
        </is>
      </c>
      <c r="D133" s="23" t="inlineStr">
        <is>
          <t>Doreen Larvie / Krishna</t>
        </is>
      </c>
      <c r="E133" s="23" t="inlineStr">
        <is>
          <t>Review Team</t>
        </is>
      </c>
      <c r="F133" s="27" t="n">
        <v>46173</v>
      </c>
      <c r="G133" s="23" t="inlineStr">
        <is>
          <t>Open</t>
        </is>
      </c>
      <c r="H133" s="23" t="inlineStr">
        <is>
          <t>Abstract screening survey shared after AI-assisted screening completion</t>
        </is>
      </c>
      <c r="I133" s="23" t="inlineStr">
        <is>
          <t>task-phase1-01-006</t>
        </is>
      </c>
      <c r="J133" s="23" t="inlineStr">
        <is>
          <t>Complete AI abstract screening survey</t>
        </is>
      </c>
      <c r="K133" s="23" t="inlineStr">
        <is>
          <t>Email</t>
        </is>
      </c>
      <c r="L133" s="23" t="n"/>
      <c r="M133" s="23" t="inlineStr">
        <is>
          <t>Yes</t>
        </is>
      </c>
    </row>
    <row r="134" ht="42" customHeight="1" s="29">
      <c r="A134" s="23" t="inlineStr">
        <is>
          <t>comm-phase1-01-005</t>
        </is>
      </c>
      <c r="B134" s="27" t="n">
        <v>46169</v>
      </c>
      <c r="C134" s="23" t="inlineStr">
        <is>
          <t>BP Targets human screening status</t>
        </is>
      </c>
      <c r="D134" s="23" t="inlineStr">
        <is>
          <t>Doreen Larvie / Krishna</t>
        </is>
      </c>
      <c r="E134" s="23" t="inlineStr">
        <is>
          <t>Doreen Larvie / Review Team</t>
        </is>
      </c>
      <c r="F134" s="23" t="inlineStr">
        <is>
          <t>Immediate</t>
        </is>
      </c>
      <c r="G134" s="23" t="inlineStr">
        <is>
          <t>Closed</t>
        </is>
      </c>
      <c r="H134" s="23" t="inlineStr">
        <is>
          <t>Asked team to confirm conventional human abstract screening status</t>
        </is>
      </c>
      <c r="I134" s="23" t="inlineStr">
        <is>
          <t>task-phase1-01-007</t>
        </is>
      </c>
      <c r="J134" s="23" t="inlineStr">
        <is>
          <t>Confirm human screening status</t>
        </is>
      </c>
      <c r="K134" s="23" t="inlineStr">
        <is>
          <t>Email</t>
        </is>
      </c>
      <c r="L134" s="23" t="n"/>
      <c r="M134" s="23" t="inlineStr">
        <is>
          <t>Yes</t>
        </is>
      </c>
    </row>
    <row r="135" ht="42" customHeight="1" s="29">
      <c r="A135" s="23" t="inlineStr">
        <is>
          <t>comm-phase1-01-006</t>
        </is>
      </c>
      <c r="B135" s="27" t="n">
        <v>46169</v>
      </c>
      <c r="C135" s="23" t="inlineStr">
        <is>
          <t>BP Targets time log confirmation</t>
        </is>
      </c>
      <c r="D135" s="23" t="inlineStr">
        <is>
          <t>Doreen Larvie / Krishna</t>
        </is>
      </c>
      <c r="E135" s="23" t="inlineStr">
        <is>
          <t>Review Team</t>
        </is>
      </c>
      <c r="F135" s="23" t="inlineStr">
        <is>
          <t>Immediate</t>
        </is>
      </c>
      <c r="G135" s="23" t="inlineStr">
        <is>
          <t>Closed</t>
        </is>
      </c>
      <c r="H135" s="23" t="inlineStr">
        <is>
          <t>Asked team to confirm whether time taken was recorded</t>
        </is>
      </c>
      <c r="I135" s="23" t="inlineStr">
        <is>
          <t>task-phase1-01-008</t>
        </is>
      </c>
      <c r="J135" s="23" t="inlineStr">
        <is>
          <t>Confirm time log</t>
        </is>
      </c>
      <c r="K135" s="23" t="inlineStr">
        <is>
          <t>Email</t>
        </is>
      </c>
      <c r="L135" s="23" t="n"/>
      <c r="M135" s="23" t="inlineStr">
        <is>
          <t>Yes</t>
        </is>
      </c>
    </row>
    <row r="136" s="29"/>
    <row r="137" s="29"/>
    <row r="138" s="29"/>
    <row r="139" s="29"/>
    <row r="140" s="29"/>
    <row r="142">
      <c r="A142" s="5" t="inlineStr">
        <is>
          <t>Critical Items Displayed in Dashboard</t>
        </is>
      </c>
      <c r="B142" s="5" t="n"/>
      <c r="C142" s="5" t="n"/>
      <c r="D142" s="5" t="n"/>
      <c r="E142" s="5" t="n"/>
      <c r="F142" s="5" t="n"/>
      <c r="G142" s="5" t="n"/>
      <c r="H142" s="5" t="n"/>
      <c r="I142" s="5" t="n"/>
      <c r="J142" s="5" t="n"/>
    </row>
    <row r="143">
      <c r="A143" s="1" t="inlineStr">
        <is>
          <t>CriticalItem</t>
        </is>
      </c>
      <c r="B143" s="1" t="inlineStr">
        <is>
          <t>Severity</t>
        </is>
      </c>
      <c r="C143" s="1" t="inlineStr">
        <is>
          <t>Owner</t>
        </is>
      </c>
      <c r="D143" s="1" t="inlineStr">
        <is>
          <t>DueDate</t>
        </is>
      </c>
      <c r="E143" s="1" t="inlineStr">
        <is>
          <t>Status</t>
        </is>
      </c>
      <c r="F143" s="1" t="inlineStr">
        <is>
          <t>Notes</t>
        </is>
      </c>
      <c r="G143" s="1" t="inlineStr">
        <is>
          <t>Display</t>
        </is>
      </c>
    </row>
    <row r="144">
      <c r="A144" t="inlineStr">
        <is>
          <t>Data items finalization recently resolved</t>
        </is>
      </c>
      <c r="B144" t="inlineStr">
        <is>
          <t>Low</t>
        </is>
      </c>
      <c r="E144" t="inlineStr">
        <is>
          <t>Open</t>
        </is>
      </c>
      <c r="G144" t="inlineStr">
        <is>
          <t>Yes</t>
        </is>
      </c>
    </row>
    <row r="145" ht="56" customHeight="1" s="29">
      <c r="A145" s="23" t="inlineStr">
        <is>
          <t>Conventional workflow completed</t>
        </is>
      </c>
      <c r="B145" s="23" t="inlineStr">
        <is>
          <t>High</t>
        </is>
      </c>
      <c r="C145" s="23" t="inlineStr">
        <is>
          <t>Doreen Larvie / Review Team</t>
        </is>
      </c>
      <c r="D145" s="23" t="inlineStr">
        <is>
          <t>Immediate</t>
        </is>
      </c>
      <c r="E145" s="23" t="inlineStr">
        <is>
          <t>Closed</t>
        </is>
      </c>
      <c r="F145" s="23" t="inlineStr">
        <is>
          <t>Needed to confirm whether AI and conventional workflows are aligned before next stage</t>
        </is>
      </c>
      <c r="G145" s="23" t="inlineStr">
        <is>
          <t>Yes</t>
        </is>
      </c>
    </row>
    <row r="146" ht="42" customHeight="1" s="29">
      <c r="A146" s="23" t="inlineStr">
        <is>
          <t>Time logs received</t>
        </is>
      </c>
      <c r="B146" s="23" t="inlineStr">
        <is>
          <t>Medium</t>
        </is>
      </c>
      <c r="C146" s="23" t="inlineStr">
        <is>
          <t>Review Team</t>
        </is>
      </c>
      <c r="D146" s="23" t="inlineStr">
        <is>
          <t>Immediate</t>
        </is>
      </c>
      <c r="E146" s="23" t="inlineStr">
        <is>
          <t>Closed</t>
        </is>
      </c>
      <c r="F146" s="23" t="inlineStr">
        <is>
          <t>Required for study analysis and comparison</t>
        </is>
      </c>
      <c r="G146" s="23"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9.xml><?xml version="1.0" encoding="utf-8"?>
<worksheet xmlns="http://schemas.openxmlformats.org/spreadsheetml/2006/main">
  <sheetPr>
    <outlinePr summaryBelow="1" summaryRight="1"/>
    <pageSetUpPr/>
  </sheetPr>
  <dimension ref="A1:N146"/>
  <sheetViews>
    <sheetView topLeftCell="A8" workbookViewId="0">
      <selection activeCell="B14" sqref="B14"/>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phase1-02 Psoriasis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phase1-02</t>
        </is>
      </c>
      <c r="C5" t="inlineStr">
        <is>
          <t>Yes</t>
        </is>
      </c>
    </row>
    <row r="6">
      <c r="A6" t="inlineStr">
        <is>
          <t>ShortName</t>
        </is>
      </c>
      <c r="B6" t="inlineStr">
        <is>
          <t>Psoriasis</t>
        </is>
      </c>
      <c r="C6" t="inlineStr">
        <is>
          <t>Yes</t>
        </is>
      </c>
    </row>
    <row r="7">
      <c r="A7" t="inlineStr">
        <is>
          <t>ReviewTitle</t>
        </is>
      </c>
      <c r="B7" t="inlineStr">
        <is>
          <t>Systemic pharmacological treatments for chronic plaque psoriasis</t>
        </is>
      </c>
      <c r="C7" t="inlineStr">
        <is>
          <t>Yes</t>
        </is>
      </c>
    </row>
    <row r="8">
      <c r="A8" t="inlineStr">
        <is>
          <t>Phase</t>
        </is>
      </c>
      <c r="B8" t="inlineStr">
        <is>
          <t>Phase 1</t>
        </is>
      </c>
      <c r="C8" t="inlineStr">
        <is>
          <t>Yes</t>
        </is>
      </c>
    </row>
    <row r="9">
      <c r="A9" t="inlineStr">
        <is>
          <t>Status</t>
        </is>
      </c>
      <c r="B9" t="inlineStr">
        <is>
          <t>Data extraction complete; validation underway</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Laurence Le Cleach / Sivem Afach</t>
        </is>
      </c>
      <c r="C12" t="inlineStr">
        <is>
          <t>Yes</t>
        </is>
      </c>
    </row>
    <row r="13">
      <c r="A13" t="inlineStr">
        <is>
          <t>CurrentStage</t>
        </is>
      </c>
      <c r="B13" t="inlineStr">
        <is>
          <t>Conventional and AI extraction files received; validation can begin</t>
        </is>
      </c>
      <c r="C13" t="inlineStr">
        <is>
          <t>Yes</t>
        </is>
      </c>
    </row>
    <row r="14">
      <c r="A14" t="inlineStr">
        <is>
          <t>CurrentUpdate</t>
        </is>
      </c>
      <c r="B14" t="inlineStr">
        <is>
          <t>Sivem provided both extraction files; conventional time 2h45 and AI time 2h10</t>
        </is>
      </c>
      <c r="C14" t="inlineStr">
        <is>
          <t>Yes</t>
        </is>
      </c>
    </row>
    <row r="15">
      <c r="A15" t="inlineStr">
        <is>
          <t>NextAction</t>
        </is>
      </c>
      <c r="B15" t="inlineStr">
        <is>
          <t>Validate extraction outputs and prepare the comparison/adjudication dataset</t>
        </is>
      </c>
      <c r="C15" t="inlineStr">
        <is>
          <t>Yes</t>
        </is>
      </c>
    </row>
    <row r="16">
      <c r="A16" t="inlineStr">
        <is>
          <t>TargetDate</t>
        </is>
      </c>
      <c r="B16" t="inlineStr">
        <is>
          <t>Immediate</t>
        </is>
      </c>
      <c r="C16" t="inlineStr">
        <is>
          <t>Yes</t>
        </is>
      </c>
    </row>
    <row r="17">
      <c r="A17" t="inlineStr">
        <is>
          <t>Variance</t>
        </is>
      </c>
      <c r="B17" t="inlineStr">
        <is>
          <t>Extraction complete; comparison and adjudication remain</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2026-08-24</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Complete</t>
        </is>
      </c>
      <c r="F27" t="inlineStr">
        <is>
          <t>Yes</t>
        </is>
      </c>
    </row>
    <row r="28">
      <c r="A28" t="inlineStr">
        <is>
          <t>extraction</t>
        </is>
      </c>
      <c r="B28" t="inlineStr">
        <is>
          <t>Complete</t>
        </is>
      </c>
      <c r="F28" t="inlineStr">
        <is>
          <t>Yes</t>
        </is>
      </c>
    </row>
    <row r="29">
      <c r="A29" t="inlineStr">
        <is>
          <t>analysis</t>
        </is>
      </c>
      <c r="B29" t="inlineStr">
        <is>
          <t>Active</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Yes</t>
        </is>
      </c>
      <c r="C36" t="inlineStr">
        <is>
          <t>Conventional and AI extraction files received</t>
        </is>
      </c>
      <c r="G36" t="inlineStr">
        <is>
          <t>Yes</t>
        </is>
      </c>
    </row>
    <row r="37">
      <c r="A37" t="inlineStr">
        <is>
          <t>Protocol</t>
        </is>
      </c>
      <c r="B37" t="inlineStr">
        <is>
          <t>Yes</t>
        </is>
      </c>
      <c r="C37" t="inlineStr">
        <is>
          <t>Ready</t>
        </is>
      </c>
      <c r="G37" t="inlineStr">
        <is>
          <t>Yes</t>
        </is>
      </c>
    </row>
    <row r="38">
      <c r="A38" t="inlineStr">
        <is>
          <t>Time Log</t>
        </is>
      </c>
      <c r="B38" t="inlineStr">
        <is>
          <t>Yes</t>
        </is>
      </c>
      <c r="C38" t="inlineStr">
        <is>
          <t>Extraction times received: conventional 2h45; AI 2h10</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100</v>
      </c>
      <c r="C42" t="n">
        <v>100</v>
      </c>
      <c r="D42" t="inlineStr">
        <is>
          <t>Complete</t>
        </is>
      </c>
      <c r="G42" t="inlineStr">
        <is>
          <t>Onboarding and setup complete.</t>
        </is>
      </c>
      <c r="H42" t="inlineStr">
        <is>
          <t>Yes</t>
        </is>
      </c>
    </row>
    <row r="43">
      <c r="A43" t="inlineStr">
        <is>
          <t>Abstract Screening</t>
        </is>
      </c>
      <c r="B43" t="inlineStr">
        <is>
          <t>100</t>
        </is>
      </c>
      <c r="C43" t="inlineStr">
        <is>
          <t>100</t>
        </is>
      </c>
      <c r="D43" t="inlineStr">
        <is>
          <t>Complete</t>
        </is>
      </c>
      <c r="G43" t="inlineStr">
        <is>
          <t>Conventional and Nested Knowledge abstract screening complete.</t>
        </is>
      </c>
      <c r="H43" t="inlineStr">
        <is>
          <t>Yes</t>
        </is>
      </c>
    </row>
    <row r="44">
      <c r="A44" t="inlineStr">
        <is>
          <t>Full-text Screening</t>
        </is>
      </c>
      <c r="B44" t="inlineStr">
        <is>
          <t>100</t>
        </is>
      </c>
      <c r="C44" t="inlineStr">
        <is>
          <t>100</t>
        </is>
      </c>
      <c r="D44" t="inlineStr">
        <is>
          <t>Complete</t>
        </is>
      </c>
      <c r="G44" t="inlineStr">
        <is>
          <t>Conventional and AI-assisted full-text screening complete; 10 studies selected.</t>
        </is>
      </c>
      <c r="H44" t="inlineStr">
        <is>
          <t>Yes</t>
        </is>
      </c>
    </row>
    <row r="45">
      <c r="A45" t="inlineStr">
        <is>
          <t>Data Extraction / Analysis</t>
        </is>
      </c>
      <c r="B45" t="n">
        <v>100</v>
      </c>
      <c r="C45" t="n">
        <v>100</v>
      </c>
      <c r="D45" t="inlineStr">
        <is>
          <t>Extraction complete; validation underway</t>
        </is>
      </c>
      <c r="G45" t="inlineStr">
        <is>
          <t>Both extraction outputs received; comparison and quality validation are next</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Complete</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Complete</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Complete</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Complete</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Complete</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Complete</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Complete</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Complete</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Complete</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Complete</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Complete</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Under Review</t>
        </is>
      </c>
      <c r="J102" s="18" t="n"/>
      <c r="K102" s="18" t="n"/>
      <c r="L102" s="18" t="inlineStr">
        <is>
          <t>Validate conventional and AI extraction files</t>
        </is>
      </c>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Pending</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task-phase1-02-001</t>
        </is>
      </c>
      <c r="B115" t="inlineStr">
        <is>
          <t>Confirm remaining full-text gaps with review team</t>
        </is>
      </c>
      <c r="C115" t="inlineStr">
        <is>
          <t>Review Team / Meghan / Nested Knowledge</t>
        </is>
      </c>
      <c r="D115" t="inlineStr">
        <is>
          <t>Waiting on Others</t>
        </is>
      </c>
      <c r="E115" t="inlineStr">
        <is>
          <t>Medium</t>
        </is>
      </c>
      <c r="F115" t="inlineStr">
        <is>
          <t>2026-05-15</t>
        </is>
      </c>
      <c r="G115" t="inlineStr">
        <is>
          <t>Remaining unavailable or paywalled full texts</t>
        </is>
      </c>
      <c r="H115" t="inlineStr">
        <is>
          <t>Nested Knowledge commented on unavailable or paywalled records; confirm whether review team can source remaining files.</t>
        </is>
      </c>
      <c r="I115" t="inlineStr">
        <is>
          <t>Email</t>
        </is>
      </c>
      <c r="J115" t="inlineStr">
        <is>
          <t>2026-05-14</t>
        </is>
      </c>
      <c r="K115" t="inlineStr">
        <is>
          <t>No</t>
        </is>
      </c>
    </row>
    <row r="116">
      <c r="A116" t="inlineStr">
        <is>
          <t>task-phase1-02-002</t>
        </is>
      </c>
      <c r="B116" t="inlineStr">
        <is>
          <t>Confirm full-text readiness after Nested Knowledge fixes</t>
        </is>
      </c>
      <c r="C116" t="inlineStr">
        <is>
          <t>Meghan / Response Team</t>
        </is>
      </c>
      <c r="D116" t="inlineStr">
        <is>
          <t>In Progress</t>
        </is>
      </c>
      <c r="E116" t="inlineStr">
        <is>
          <t>Medium</t>
        </is>
      </c>
      <c r="F116" t="inlineStr">
        <is>
          <t>2026-05-15</t>
        </is>
      </c>
      <c r="G116" t="inlineStr">
        <is>
          <t>Full-text files and criteria</t>
        </is>
      </c>
      <c r="H116" t="inlineStr">
        <is>
          <t>Trial registry and multi-abstract PDF issues were addressed by Nested Knowledge; remaining access gaps need confirmation.</t>
        </is>
      </c>
      <c r="I116" t="inlineStr">
        <is>
          <t>Email</t>
        </is>
      </c>
      <c r="J116" t="inlineStr">
        <is>
          <t>2026-05-14</t>
        </is>
      </c>
      <c r="K116" t="inlineStr">
        <is>
          <t>No</t>
        </is>
      </c>
    </row>
    <row r="117">
      <c r="A117" t="inlineStr">
        <is>
          <t>task-phase1-02-003</t>
        </is>
      </c>
      <c r="B117" t="inlineStr">
        <is>
          <t>Confirm full-text criteria and handling of remaining full-text issues</t>
        </is>
      </c>
      <c r="C117" t="inlineStr">
        <is>
          <t>Review Team / Sean</t>
        </is>
      </c>
      <c r="D117" t="inlineStr">
        <is>
          <t>Needs Action</t>
        </is>
      </c>
      <c r="E117" t="inlineStr">
        <is>
          <t>Medium</t>
        </is>
      </c>
      <c r="F117" t="inlineStr">
        <is>
          <t>2026-05-15</t>
        </is>
      </c>
      <c r="G117" t="inlineStr">
        <is>
          <t>Eligibility criteria and full-text package</t>
        </is>
      </c>
      <c r="H117" t="inlineStr">
        <is>
          <t>Confirm criteria before full-text AI setup proceeds.</t>
        </is>
      </c>
      <c r="I117" t="inlineStr">
        <is>
          <t>MoM</t>
        </is>
      </c>
      <c r="J117" t="inlineStr">
        <is>
          <t>2026-05-10</t>
        </is>
      </c>
      <c r="K117" t="inlineStr">
        <is>
          <t>No</t>
        </is>
      </c>
    </row>
    <row r="118">
      <c r="A118" t="inlineStr">
        <is>
          <t>task-phase1-02-004</t>
        </is>
      </c>
      <c r="B118" t="inlineStr">
        <is>
          <t>Send usability survey after abstract screening completion</t>
        </is>
      </c>
      <c r="C118" t="inlineStr">
        <is>
          <t>Krishna</t>
        </is>
      </c>
      <c r="D118" t="inlineStr">
        <is>
          <t>Not Started</t>
        </is>
      </c>
      <c r="E118" t="inlineStr">
        <is>
          <t>Low</t>
        </is>
      </c>
      <c r="F118" t="inlineStr">
        <is>
          <t>After abstract screening</t>
        </is>
      </c>
      <c r="G118" t="inlineStr">
        <is>
          <t>Abstract screening completion</t>
        </is>
      </c>
      <c r="H118" t="inlineStr">
        <is>
          <t>Send survey when abstract screening is confirmed complete.</t>
        </is>
      </c>
      <c r="I118" t="inlineStr">
        <is>
          <t>Project tracking</t>
        </is>
      </c>
      <c r="J118" t="inlineStr">
        <is>
          <t>2026-05-14</t>
        </is>
      </c>
      <c r="K118" t="inlineStr">
        <is>
          <t>No</t>
        </is>
      </c>
    </row>
    <row r="119" ht="42" customHeight="1" s="29">
      <c r="A119" s="23" t="inlineStr">
        <is>
          <t>task-phase1-02-005</t>
        </is>
      </c>
      <c r="B119" s="23" t="inlineStr">
        <is>
          <t>Confirm NK abstract screening survey responses</t>
        </is>
      </c>
      <c r="C119" s="23" t="inlineStr">
        <is>
          <t>Susan / Ursula</t>
        </is>
      </c>
      <c r="D119" s="23" t="inlineStr">
        <is>
          <t>Complete</t>
        </is>
      </c>
      <c r="E119" s="23" t="inlineStr">
        <is>
          <t>Low</t>
        </is>
      </c>
      <c r="F119" s="27" t="n">
        <v>46161</v>
      </c>
      <c r="G119" s="23" t="inlineStr">
        <is>
          <t>NK abstract screening completion</t>
        </is>
      </c>
      <c r="H119" s="23" t="inlineStr">
        <is>
          <t>Susan confirmed two new NK survey responses</t>
        </is>
      </c>
      <c r="I119" s="23" t="inlineStr">
        <is>
          <t>Email</t>
        </is>
      </c>
      <c r="J119" s="27" t="n">
        <v>46161</v>
      </c>
      <c r="K119" s="23" t="inlineStr">
        <is>
          <t>Yes</t>
        </is>
      </c>
    </row>
    <row r="120" ht="28" customHeight="1" s="29">
      <c r="A120" s="23" t="inlineStr">
        <is>
          <t>task-phase1-02-006</t>
        </is>
      </c>
      <c r="B120" s="23" t="inlineStr">
        <is>
          <t>Finalize data item list for extraction</t>
        </is>
      </c>
      <c r="C120" s="23" t="inlineStr">
        <is>
          <t>Sean / Sivem / Meghan</t>
        </is>
      </c>
      <c r="D120" s="23" t="inlineStr">
        <is>
          <t>Complete</t>
        </is>
      </c>
      <c r="E120" s="23" t="inlineStr">
        <is>
          <t>Medium</t>
        </is>
      </c>
      <c r="F120" s="27" t="n">
        <v>46167</v>
      </c>
      <c r="G120" s="23" t="inlineStr">
        <is>
          <t>Data extraction setup</t>
        </is>
      </c>
      <c r="H120" s="23" t="inlineStr">
        <is>
          <t>Updated data item list uploaded to shared folder</t>
        </is>
      </c>
      <c r="I120" s="23" t="inlineStr">
        <is>
          <t>Email</t>
        </is>
      </c>
      <c r="J120" s="27" t="n">
        <v>46167</v>
      </c>
      <c r="K120" s="23" t="inlineStr">
        <is>
          <t>Yes</t>
        </is>
      </c>
    </row>
    <row r="121" ht="42" customHeight="1" s="29">
      <c r="A121" s="23" t="inlineStr">
        <is>
          <t>task-phase1-02-007</t>
        </is>
      </c>
      <c r="B121" s="23" t="inlineStr">
        <is>
          <t>Enter data extraction fields into NK</t>
        </is>
      </c>
      <c r="C121" s="23" t="inlineStr">
        <is>
          <t>Meghan / Response Team</t>
        </is>
      </c>
      <c r="D121" s="23" t="inlineStr">
        <is>
          <t>Complete</t>
        </is>
      </c>
      <c r="E121" s="23" t="inlineStr">
        <is>
          <t>Medium</t>
        </is>
      </c>
      <c r="F121" s="27" t="n">
        <v>46173</v>
      </c>
      <c r="G121" s="23" t="inlineStr">
        <is>
          <t>Final data item list</t>
        </is>
      </c>
      <c r="H121" s="23" t="inlineStr">
        <is>
          <t>Nested Knowledge extraction setup and AI extraction completed</t>
        </is>
      </c>
      <c r="I121" s="23" t="inlineStr">
        <is>
          <t>Email</t>
        </is>
      </c>
      <c r="J121" s="27" t="n">
        <v>46162</v>
      </c>
      <c r="K121" s="23" t="inlineStr">
        <is>
          <t>Yes</t>
        </is>
      </c>
    </row>
    <row r="122" ht="42" customHeight="1" s="29">
      <c r="A122" s="23" t="inlineStr">
        <is>
          <t>task-phase1-02-008</t>
        </is>
      </c>
      <c r="B122" s="23" t="inlineStr">
        <is>
          <t>Confirm conventional extraction format</t>
        </is>
      </c>
      <c r="C122" s="23" t="inlineStr">
        <is>
          <t>Emilie / Robin / Sean</t>
        </is>
      </c>
      <c r="D122" s="23" t="inlineStr">
        <is>
          <t>Complete</t>
        </is>
      </c>
      <c r="E122" s="23" t="inlineStr">
        <is>
          <t>Medium</t>
        </is>
      </c>
      <c r="F122" s="27" t="n">
        <v>46173</v>
      </c>
      <c r="G122" s="23" t="inlineStr">
        <is>
          <t>Standalone data item definitions</t>
        </is>
      </c>
      <c r="H122" s="23" t="inlineStr">
        <is>
          <t>Conventional extraction file received</t>
        </is>
      </c>
      <c r="I122" s="23" t="inlineStr">
        <is>
          <t>Email</t>
        </is>
      </c>
      <c r="J122" s="27" t="n">
        <v>46168</v>
      </c>
      <c r="K122" s="23" t="inlineStr">
        <is>
          <t>Yes</t>
        </is>
      </c>
    </row>
    <row r="123" ht="56" customHeight="1" s="29">
      <c r="A123" s="23" t="inlineStr">
        <is>
          <t>task-phase1-02-009</t>
        </is>
      </c>
      <c r="B123" s="23" t="inlineStr">
        <is>
          <t>Confirm no further data item changes before AI extraction</t>
        </is>
      </c>
      <c r="C123" s="23" t="inlineStr">
        <is>
          <t>Sean / Review Team</t>
        </is>
      </c>
      <c r="D123" s="23" t="inlineStr">
        <is>
          <t>Complete</t>
        </is>
      </c>
      <c r="E123" s="23" t="inlineStr">
        <is>
          <t>High</t>
        </is>
      </c>
      <c r="F123" s="23" t="inlineStr">
        <is>
          <t>Immediate</t>
        </is>
      </c>
      <c r="G123" s="23" t="inlineStr">
        <is>
          <t>NK setup completion</t>
        </is>
      </c>
      <c r="H123" s="23" t="inlineStr">
        <is>
          <t>Extraction completed using the agreed definitions</t>
        </is>
      </c>
      <c r="I123" s="23" t="inlineStr">
        <is>
          <t>Email</t>
        </is>
      </c>
      <c r="J123" s="27" t="n">
        <v>46169</v>
      </c>
      <c r="K123" s="23" t="inlineStr">
        <is>
          <t>Yes</t>
        </is>
      </c>
    </row>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comm-phase1-02-001</t>
        </is>
      </c>
      <c r="B130" t="inlineStr">
        <is>
          <t>2026-05-14</t>
        </is>
      </c>
      <c r="C130" t="inlineStr">
        <is>
          <t>Nested Knowledge full-text issue update</t>
        </is>
      </c>
      <c r="D130" t="inlineStr">
        <is>
          <t>Ranita Tarchand</t>
        </is>
      </c>
      <c r="E130" t="inlineStr">
        <is>
          <t>Nested Knowledge / Meghan / Review Team</t>
        </is>
      </c>
      <c r="F130" t="inlineStr">
        <is>
          <t>2026-05-15</t>
        </is>
      </c>
      <c r="G130" t="inlineStr">
        <is>
          <t>In Progress</t>
        </is>
      </c>
      <c r="H130" t="inlineStr">
        <is>
          <t>Nested Knowledge completed action items #1 and #2 inside the Plaque Psoriasis project: trial registries with PDFs were added through CT.gov integration and multi-abstract PDFs were snipped to include the relevant abstract.</t>
        </is>
      </c>
      <c r="I130" t="inlineStr">
        <is>
          <t>task-phase1-02-001</t>
        </is>
      </c>
      <c r="J130" t="inlineStr">
        <is>
          <t>Confirm remaining full-text gaps with review team</t>
        </is>
      </c>
      <c r="K130" t="inlineStr">
        <is>
          <t>Email</t>
        </is>
      </c>
      <c r="M130" t="inlineStr">
        <is>
          <t>No</t>
        </is>
      </c>
    </row>
    <row r="131">
      <c r="A131" t="inlineStr">
        <is>
          <t>comm-phase1-02-002</t>
        </is>
      </c>
      <c r="B131" t="inlineStr">
        <is>
          <t>2026-05-14</t>
        </is>
      </c>
      <c r="C131" t="inlineStr">
        <is>
          <t>Remaining full-text access gaps</t>
        </is>
      </c>
      <c r="D131" t="inlineStr">
        <is>
          <t>Ranita Tarchand</t>
        </is>
      </c>
      <c r="E131" t="inlineStr">
        <is>
          <t>Review Team / Meghan</t>
        </is>
      </c>
      <c r="F131" t="inlineStr">
        <is>
          <t>2026-05-15</t>
        </is>
      </c>
      <c r="G131" t="inlineStr">
        <is>
          <t>Waiting on Others</t>
        </is>
      </c>
      <c r="H131" t="inlineStr">
        <is>
          <t>Nested Knowledge reviewed records without full text and commented on records where a full text could not be sourced or was restricted behind a paywall.</t>
        </is>
      </c>
      <c r="I131" t="inlineStr">
        <is>
          <t>task-phase1-02-001</t>
        </is>
      </c>
      <c r="J131" t="inlineStr">
        <is>
          <t>Confirm remaining full-text gaps with review team</t>
        </is>
      </c>
      <c r="K131" t="inlineStr">
        <is>
          <t>Email</t>
        </is>
      </c>
      <c r="M131" t="inlineStr">
        <is>
          <t>No</t>
        </is>
      </c>
    </row>
    <row r="132">
      <c r="A132" t="inlineStr">
        <is>
          <t>comm-phase1-02-003</t>
        </is>
      </c>
      <c r="B132" t="inlineStr">
        <is>
          <t>2026-05-14</t>
        </is>
      </c>
      <c r="C132" t="inlineStr">
        <is>
          <t>Psoriasis team check-in invitation</t>
        </is>
      </c>
      <c r="D132" t="inlineStr">
        <is>
          <t>Krishna</t>
        </is>
      </c>
      <c r="E132" t="inlineStr">
        <is>
          <t>Laurence Le Cleach / Sivem Afach</t>
        </is>
      </c>
      <c r="F132" t="inlineStr">
        <is>
          <t>2026-05-19</t>
        </is>
      </c>
      <c r="G132" t="inlineStr">
        <is>
          <t>Sent</t>
        </is>
      </c>
      <c r="H132" t="inlineStr">
        <is>
          <t>Check-in email sent to understand current progress, issues encountered, and support needs for the psoriasis review.</t>
        </is>
      </c>
      <c r="I132" t="inlineStr">
        <is>
          <t>task-phase1-02-003</t>
        </is>
      </c>
      <c r="J132" t="inlineStr">
        <is>
          <t>Confirm full-text criteria and handling of remaining full-text issues</t>
        </is>
      </c>
      <c r="K132" t="inlineStr">
        <is>
          <t>Email</t>
        </is>
      </c>
      <c r="M132" t="inlineStr">
        <is>
          <t>No</t>
        </is>
      </c>
    </row>
    <row r="133" ht="56" customHeight="1" s="29">
      <c r="A133" t="inlineStr">
        <is>
          <t>comm-phase1-02-004</t>
        </is>
      </c>
      <c r="B133" s="33" t="n">
        <v>46161</v>
      </c>
      <c r="C133" s="27" t="inlineStr">
        <is>
          <t>Psoriasis / NK survey responses</t>
        </is>
      </c>
      <c r="D133" s="23" t="inlineStr">
        <is>
          <t>Susan / Krishna</t>
        </is>
      </c>
      <c r="E133" s="23" t="inlineStr">
        <is>
          <t>Susan / Ursula</t>
        </is>
      </c>
      <c r="F133" s="33" t="n">
        <v>46161</v>
      </c>
      <c r="G133" s="27" t="inlineStr">
        <is>
          <t>Complete</t>
        </is>
      </c>
      <c r="H133" s="23" t="inlineStr">
        <is>
          <t>Two new NK title and abstract screening survey responses received</t>
        </is>
      </c>
      <c r="I133" s="23" t="inlineStr">
        <is>
          <t>task-phase1-02-005</t>
        </is>
      </c>
      <c r="J133" s="23" t="inlineStr">
        <is>
          <t>Confirm survey responses</t>
        </is>
      </c>
      <c r="K133" s="23" t="inlineStr">
        <is>
          <t>Email</t>
        </is>
      </c>
      <c r="L133" s="23" t="n"/>
      <c r="M133" s="23" t="inlineStr">
        <is>
          <t>Yes</t>
        </is>
      </c>
      <c r="N133" s="23" t="n"/>
    </row>
    <row r="134" ht="70" customHeight="1" s="29">
      <c r="A134" t="inlineStr">
        <is>
          <t>comm-phase1-02-005</t>
        </is>
      </c>
      <c r="B134" s="33" t="n">
        <v>46162</v>
      </c>
      <c r="C134" s="27" t="inlineStr">
        <is>
          <t>Psoriasis NK data field setup</t>
        </is>
      </c>
      <c r="D134" s="23" t="inlineStr">
        <is>
          <t>Meghan / Sivem / Sean</t>
        </is>
      </c>
      <c r="E134" s="23" t="inlineStr">
        <is>
          <t>Meghan</t>
        </is>
      </c>
      <c r="F134" s="33" t="n">
        <v>46173</v>
      </c>
      <c r="G134" s="27" t="inlineStr">
        <is>
          <t>In Progress</t>
        </is>
      </c>
      <c r="H134" s="23" t="inlineStr">
        <is>
          <t>Meghan confirmed she would start entering data fields into Nested Knowledge</t>
        </is>
      </c>
      <c r="I134" s="23" t="inlineStr">
        <is>
          <t>task-phase1-02-007</t>
        </is>
      </c>
      <c r="J134" s="23" t="inlineStr">
        <is>
          <t>Enter NK data fields</t>
        </is>
      </c>
      <c r="K134" s="23" t="inlineStr">
        <is>
          <t>Email</t>
        </is>
      </c>
      <c r="L134" s="23" t="n"/>
      <c r="M134" s="23" t="inlineStr">
        <is>
          <t>Yes</t>
        </is>
      </c>
      <c r="N134" s="23" t="n"/>
    </row>
    <row r="135" ht="42" customHeight="1" s="29">
      <c r="A135" t="inlineStr">
        <is>
          <t>comm-phase1-02-006</t>
        </is>
      </c>
      <c r="B135" s="33" t="n">
        <v>46167</v>
      </c>
      <c r="C135" s="27" t="inlineStr">
        <is>
          <t>Psoriasis updated data item list</t>
        </is>
      </c>
      <c r="D135" s="23" t="inlineStr">
        <is>
          <t>Sean / Sivem / Meghan</t>
        </is>
      </c>
      <c r="E135" s="23" t="inlineStr">
        <is>
          <t>Sean / Meghan</t>
        </is>
      </c>
      <c r="F135" s="33" t="n">
        <v>46167</v>
      </c>
      <c r="G135" s="27" t="inlineStr">
        <is>
          <t>Complete</t>
        </is>
      </c>
      <c r="H135" s="23" t="inlineStr">
        <is>
          <t>Updated data item list uploaded to shared folder</t>
        </is>
      </c>
      <c r="I135" s="23" t="inlineStr">
        <is>
          <t>task-phase1-02-006</t>
        </is>
      </c>
      <c r="J135" s="23" t="inlineStr">
        <is>
          <t>Finalize data items</t>
        </is>
      </c>
      <c r="K135" s="23" t="inlineStr">
        <is>
          <t>Email</t>
        </is>
      </c>
      <c r="L135" s="23" t="n"/>
      <c r="M135" s="23" t="inlineStr">
        <is>
          <t>Yes</t>
        </is>
      </c>
      <c r="N135" s="23" t="n"/>
    </row>
    <row r="136" ht="56" customHeight="1" s="29">
      <c r="A136" t="inlineStr">
        <is>
          <t>comm-phase1-02-007</t>
        </is>
      </c>
      <c r="B136" s="33" t="n">
        <v>46168</v>
      </c>
      <c r="C136" s="27" t="inlineStr">
        <is>
          <t>Psoriasis conventional extraction format</t>
        </is>
      </c>
      <c r="D136" s="23" t="inlineStr">
        <is>
          <t>Emilie / Sean / Meghan</t>
        </is>
      </c>
      <c r="E136" s="23" t="inlineStr">
        <is>
          <t>Emilie / Robin</t>
        </is>
      </c>
      <c r="F136" s="33" t="n">
        <v>46173</v>
      </c>
      <c r="G136" s="27" t="inlineStr">
        <is>
          <t>In Progress</t>
        </is>
      </c>
      <c r="H136" s="23" t="inlineStr">
        <is>
          <t>Conventional team clarified planned Excel and Word outputs</t>
        </is>
      </c>
      <c r="I136" s="23" t="inlineStr">
        <is>
          <t>task-phase1-02-008</t>
        </is>
      </c>
      <c r="J136" s="23" t="inlineStr">
        <is>
          <t>Confirm conventional extraction format</t>
        </is>
      </c>
      <c r="K136" s="23" t="inlineStr">
        <is>
          <t>Email</t>
        </is>
      </c>
      <c r="L136" s="23" t="n"/>
      <c r="M136" s="23" t="inlineStr">
        <is>
          <t>Yes</t>
        </is>
      </c>
      <c r="N136" s="23" t="n"/>
    </row>
    <row r="137" ht="70" customHeight="1" s="29">
      <c r="A137" t="inlineStr">
        <is>
          <t>comm-phase1-02-008</t>
        </is>
      </c>
      <c r="B137" s="33" t="n">
        <v>46169</v>
      </c>
      <c r="C137" s="27" t="inlineStr">
        <is>
          <t>Psoriasis extraction definitions</t>
        </is>
      </c>
      <c r="D137" s="23" t="inlineStr">
        <is>
          <t>Sean / Emilie / Meghan / Sivem</t>
        </is>
      </c>
      <c r="E137" s="23" t="inlineStr">
        <is>
          <t>Review Team</t>
        </is>
      </c>
      <c r="F137" s="23" t="inlineStr">
        <is>
          <t>Immediate</t>
        </is>
      </c>
      <c r="G137" s="23" t="inlineStr">
        <is>
          <t>Open</t>
        </is>
      </c>
      <c r="H137" s="23" t="inlineStr">
        <is>
          <t>Sean asked extractors to follow agreed definitions before AI extraction begins</t>
        </is>
      </c>
      <c r="I137" s="23" t="inlineStr">
        <is>
          <t>task-phase1-02-009</t>
        </is>
      </c>
      <c r="J137" s="23" t="inlineStr">
        <is>
          <t>Confirm no further changes</t>
        </is>
      </c>
      <c r="K137" s="23" t="inlineStr">
        <is>
          <t>Email</t>
        </is>
      </c>
      <c r="L137" s="23" t="n"/>
      <c r="M137" s="23" t="inlineStr">
        <is>
          <t>Yes</t>
        </is>
      </c>
      <c r="N137" s="23" t="n"/>
    </row>
    <row r="138" s="29"/>
    <row r="139" s="29"/>
    <row r="141">
      <c r="A141" s="5" t="inlineStr">
        <is>
          <t>Critical Items Displayed in Dashboard</t>
        </is>
      </c>
      <c r="B141" s="5" t="n"/>
      <c r="C141" s="5" t="n"/>
      <c r="D141" s="5" t="n"/>
      <c r="E141" s="5" t="n"/>
      <c r="F141" s="5" t="n"/>
      <c r="G141" s="5" t="n"/>
      <c r="H141" s="5" t="n"/>
      <c r="I141" s="5" t="n"/>
      <c r="J141" s="5" t="n"/>
    </row>
    <row r="142">
      <c r="A142" s="1" t="inlineStr">
        <is>
          <t>CriticalItem</t>
        </is>
      </c>
      <c r="B142" s="1" t="inlineStr">
        <is>
          <t>Severity</t>
        </is>
      </c>
      <c r="C142" s="1" t="inlineStr">
        <is>
          <t>Owner</t>
        </is>
      </c>
      <c r="D142" s="1" t="inlineStr">
        <is>
          <t>DueDate</t>
        </is>
      </c>
      <c r="E142" s="1" t="inlineStr">
        <is>
          <t>Status</t>
        </is>
      </c>
      <c r="F142" s="1" t="inlineStr">
        <is>
          <t>Notes</t>
        </is>
      </c>
      <c r="G142" s="1" t="inlineStr">
        <is>
          <t>Display</t>
        </is>
      </c>
    </row>
    <row r="143">
      <c r="A143" t="inlineStr">
        <is>
          <t>Remaining full-text gaps</t>
        </is>
      </c>
      <c r="B143" t="inlineStr">
        <is>
          <t>Low</t>
        </is>
      </c>
      <c r="E143" t="inlineStr">
        <is>
          <t>Open</t>
        </is>
      </c>
      <c r="G143" t="inlineStr">
        <is>
          <t>No</t>
        </is>
      </c>
    </row>
    <row r="144">
      <c r="A144" t="inlineStr">
        <is>
          <t>Full-text criteria still need confirmation</t>
        </is>
      </c>
      <c r="B144" t="inlineStr">
        <is>
          <t>Low</t>
        </is>
      </c>
      <c r="E144" t="inlineStr">
        <is>
          <t>Open</t>
        </is>
      </c>
      <c r="G144" t="inlineStr">
        <is>
          <t>No</t>
        </is>
      </c>
    </row>
    <row r="145">
      <c r="A145" t="inlineStr">
        <is>
          <t>Confirm no further data item changes before AI extraction</t>
        </is>
      </c>
      <c r="B145" t="inlineStr">
        <is>
          <t>High</t>
        </is>
      </c>
      <c r="C145" t="inlineStr">
        <is>
          <t>Sean / Review Team</t>
        </is>
      </c>
      <c r="D145" t="inlineStr">
        <is>
          <t>Immediate</t>
        </is>
      </c>
      <c r="E145" t="inlineStr">
        <is>
          <t>Closed</t>
        </is>
      </c>
      <c r="F145" t="inlineStr">
        <is>
          <t>Resolved; AI-assisted extraction completed</t>
        </is>
      </c>
      <c r="G145" t="inlineStr">
        <is>
          <t>Yes</t>
        </is>
      </c>
    </row>
    <row r="146">
      <c r="A146" t="inlineStr">
        <is>
          <t>Conventional extraction format alignment</t>
        </is>
      </c>
      <c r="B146" t="inlineStr">
        <is>
          <t>Medium</t>
        </is>
      </c>
      <c r="C146" t="inlineStr">
        <is>
          <t>Emilie / Robin / Sean</t>
        </is>
      </c>
      <c r="D146" s="22" t="n">
        <v>46173</v>
      </c>
      <c r="E146" t="inlineStr">
        <is>
          <t>Closed</t>
        </is>
      </c>
      <c r="F146" t="inlineStr">
        <is>
          <t>Conventional extraction output received</t>
        </is>
      </c>
      <c r="G14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0.xml><?xml version="1.0" encoding="utf-8"?>
<worksheet xmlns="http://schemas.openxmlformats.org/spreadsheetml/2006/main">
  <sheetPr>
    <outlinePr summaryBelow="1" summaryRight="1"/>
    <pageSetUpPr/>
  </sheetPr>
  <dimension ref="A1:M139"/>
  <sheetViews>
    <sheetView topLeftCell="D40" zoomScale="85" zoomScaleNormal="85" workbookViewId="0">
      <selection activeCell="I53" sqref="I53"/>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phase1-03 Fruit &amp; Veg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phase1-03</t>
        </is>
      </c>
      <c r="C5" t="inlineStr">
        <is>
          <t>Yes</t>
        </is>
      </c>
    </row>
    <row r="6">
      <c r="A6" t="inlineStr">
        <is>
          <t>ShortName</t>
        </is>
      </c>
      <c r="B6" t="inlineStr">
        <is>
          <t>Fruit &amp; Veg</t>
        </is>
      </c>
      <c r="C6" t="inlineStr">
        <is>
          <t>Yes</t>
        </is>
      </c>
    </row>
    <row r="7">
      <c r="A7" t="inlineStr">
        <is>
          <t>ReviewTitle</t>
        </is>
      </c>
      <c r="B7" t="inlineStr">
        <is>
          <t>Interventions for increasing fruit and vegetable consumption in children aged five years and under</t>
        </is>
      </c>
      <c r="C7" t="inlineStr">
        <is>
          <t>Yes</t>
        </is>
      </c>
    </row>
    <row r="8">
      <c r="A8" t="inlineStr">
        <is>
          <t>Phase</t>
        </is>
      </c>
      <c r="B8" t="inlineStr">
        <is>
          <t>Phase 1</t>
        </is>
      </c>
      <c r="C8" t="inlineStr">
        <is>
          <t>Yes</t>
        </is>
      </c>
    </row>
    <row r="9">
      <c r="A9" t="inlineStr">
        <is>
          <t>Status</t>
        </is>
      </c>
      <c r="B9" t="inlineStr">
        <is>
          <t>Full-text setup underway</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Rebecca K. Hodder</t>
        </is>
      </c>
      <c r="C12" t="inlineStr">
        <is>
          <t>Yes</t>
        </is>
      </c>
    </row>
    <row r="13">
      <c r="A13" t="inlineStr">
        <is>
          <t>CurrentStage</t>
        </is>
      </c>
      <c r="B13" t="inlineStr">
        <is>
          <t>Abstract screening complete; full-text setup underway with 145 uploaded records</t>
        </is>
      </c>
      <c r="C13" t="inlineStr">
        <is>
          <t>Yes</t>
        </is>
      </c>
    </row>
    <row r="14">
      <c r="A14" t="inlineStr">
        <is>
          <t>CurrentUpdate</t>
        </is>
      </c>
      <c r="B14" t="inlineStr">
        <is>
          <t>Abstract screening complete; full-text setup underway with 145 uploaded records</t>
        </is>
      </c>
      <c r="C14" t="inlineStr">
        <is>
          <t>Yes</t>
        </is>
      </c>
    </row>
    <row r="15">
      <c r="A15" t="inlineStr">
        <is>
          <t>NextAction</t>
        </is>
      </c>
      <c r="B15" t="inlineStr">
        <is>
          <t>Confirm full-text project readiness and commence both screening arms</t>
        </is>
      </c>
      <c r="C15" t="inlineStr">
        <is>
          <t>Yes</t>
        </is>
      </c>
    </row>
    <row r="16">
      <c r="A16" t="inlineStr">
        <is>
          <t>TargetDate</t>
        </is>
      </c>
      <c r="B16" t="inlineStr">
        <is>
          <t>Immediate</t>
        </is>
      </c>
      <c r="C16" t="inlineStr">
        <is>
          <t>Yes</t>
        </is>
      </c>
    </row>
    <row r="17">
      <c r="A17" t="inlineStr">
        <is>
          <t>Variance</t>
        </is>
      </c>
      <c r="B17" t="inlineStr">
        <is>
          <t>Full-text setup awaiting final confirmation</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2026-08-20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Active</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Yes</t>
        </is>
      </c>
      <c r="C34" t="inlineStr">
        <is>
          <t>PDFs for 17 plus 128 records uploaded to SharePoint</t>
        </is>
      </c>
      <c r="G34" t="inlineStr">
        <is>
          <t>Yes</t>
        </is>
      </c>
    </row>
    <row r="35">
      <c r="A35" t="inlineStr">
        <is>
          <t>Criteria</t>
        </is>
      </c>
      <c r="B35" t="inlineStr">
        <is>
          <t>Yes</t>
        </is>
      </c>
      <c r="C35" t="inlineStr">
        <is>
          <t>Updated full-text decision flow submitted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100</v>
      </c>
      <c r="C42" t="n">
        <v>100</v>
      </c>
      <c r="D42" t="inlineStr">
        <is>
          <t>Complete</t>
        </is>
      </c>
      <c r="G42" t="inlineStr">
        <is>
          <t>Abstract-screening setup completed for both workflows.</t>
        </is>
      </c>
      <c r="H42" t="inlineStr">
        <is>
          <t>Yes</t>
        </is>
      </c>
    </row>
    <row r="43">
      <c r="A43" t="inlineStr">
        <is>
          <t>Abstract Screening</t>
        </is>
      </c>
      <c r="B43" t="n">
        <v>100</v>
      </c>
      <c r="C43" t="n">
        <v>100</v>
      </c>
      <c r="D43" t="inlineStr">
        <is>
          <t>Complete</t>
        </is>
      </c>
      <c r="G43" t="inlineStr">
        <is>
          <t>Both title/abstract arms complete; discrepant records reconciled</t>
        </is>
      </c>
      <c r="H43" t="inlineStr">
        <is>
          <t>Yes</t>
        </is>
      </c>
    </row>
    <row r="44">
      <c r="A44" t="inlineStr">
        <is>
          <t>Full-text Screening</t>
        </is>
      </c>
      <c r="B44" t="n">
        <v>0</v>
      </c>
      <c r="C44" t="n">
        <v>0</v>
      </c>
      <c r="D44" t="inlineStr">
        <is>
          <t>Setup in progress</t>
        </is>
      </c>
      <c r="G44" t="inlineStr">
        <is>
          <t>Superset confirmed; 145 PDFs uploaded; awaiting project readiness confirmation</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t="inlineStr">
        <is>
          <t>Complete</t>
        </is>
      </c>
      <c r="J65" s="18" t="n"/>
      <c r="K65" s="18" t="n"/>
      <c r="L65" t="inlineStr">
        <is>
          <t>Conventional abstract screening complete</t>
        </is>
      </c>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t="inlineStr">
        <is>
          <t>Complete</t>
        </is>
      </c>
      <c r="J66" s="18" t="n"/>
      <c r="K66" s="18" t="n"/>
      <c r="L66" t="inlineStr">
        <is>
          <t>Laser AI abstract screening complete.</t>
        </is>
      </c>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t="inlineStr">
        <is>
          <t>Complete</t>
        </is>
      </c>
      <c r="J67" s="18" t="n"/>
      <c r="K67" s="18" t="n"/>
      <c r="L67" t="inlineStr">
        <is>
          <t>AI workflow identified 15 records for full-text screening.</t>
        </is>
      </c>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t="inlineStr">
        <is>
          <t>Complete</t>
        </is>
      </c>
      <c r="J68" s="18" t="n"/>
      <c r="K68" s="18" t="n"/>
      <c r="L68" t="inlineStr">
        <is>
          <t>RIS file for 15 AI-selected full-text records shared.</t>
        </is>
      </c>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t="inlineStr">
        <is>
          <t>Complete</t>
        </is>
      </c>
      <c r="J69" s="18" t="n"/>
      <c r="K69" s="18" t="n"/>
      <c r="L69" t="inlineStr">
        <is>
          <t>Usability survey link sent after Laser AI screening.</t>
        </is>
      </c>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t="inlineStr">
        <is>
          <t>Complete</t>
        </is>
      </c>
      <c r="J72" s="18" t="n"/>
      <c r="K72" s="18" t="n"/>
      <c r="L72" t="inlineStr">
        <is>
          <t>Superset principle confirmed and discrepancies reconciled</t>
        </is>
      </c>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t="inlineStr">
        <is>
          <t>Complete</t>
        </is>
      </c>
      <c r="J74" s="18" t="n"/>
      <c r="K74" s="18" t="n"/>
      <c r="L74" t="inlineStr">
        <is>
          <t>PDFs for 145 records uploaded on 10 August</t>
        </is>
      </c>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t="inlineStr">
        <is>
          <t>Under Review</t>
        </is>
      </c>
      <c r="J77" s="18" t="n"/>
      <c r="K77" s="18" t="n"/>
      <c r="L77" t="inlineStr">
        <is>
          <t>Full-text decision flow requires final amendments.</t>
        </is>
      </c>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t="inlineStr">
        <is>
          <t>In Progress</t>
        </is>
      </c>
      <c r="J78" s="18" t="n"/>
      <c r="K78" s="18" t="n"/>
      <c r="L78" t="inlineStr">
        <is>
          <t>Full-text project being prepared using the combined record set</t>
        </is>
      </c>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task-phase1-03-001</t>
        </is>
      </c>
      <c r="B115" t="inlineStr">
        <is>
          <t>Confirm allocated AI tool and review team access</t>
        </is>
      </c>
      <c r="C115" t="inlineStr">
        <is>
          <t>Krishna / Response Team</t>
        </is>
      </c>
      <c r="D115" t="inlineStr">
        <is>
          <t>Pending</t>
        </is>
      </c>
      <c r="E115" t="inlineStr">
        <is>
          <t>Medium</t>
        </is>
      </c>
      <c r="F115" t="inlineStr">
        <is>
          <t>2026-05-20</t>
        </is>
      </c>
      <c r="G115" t="inlineStr">
        <is>
          <t>Tool allocation</t>
        </is>
      </c>
      <c r="H115" t="inlineStr">
        <is>
          <t>Confirm logins and reviewer access before setup.</t>
        </is>
      </c>
      <c r="I115" t="inlineStr">
        <is>
          <t>Project tracking</t>
        </is>
      </c>
      <c r="J115" t="inlineStr">
        <is>
          <t>2026-05-14</t>
        </is>
      </c>
      <c r="K115" t="inlineStr">
        <is>
          <t>No</t>
        </is>
      </c>
    </row>
    <row r="116">
      <c r="A116" t="inlineStr">
        <is>
          <t>task-phase1-03-002</t>
        </is>
      </c>
      <c r="B116" t="inlineStr">
        <is>
          <t>Arrange allocated tool training closer to study start date</t>
        </is>
      </c>
      <c r="C116" t="inlineStr">
        <is>
          <t>Krishna / Tool Team</t>
        </is>
      </c>
      <c r="D116" t="inlineStr">
        <is>
          <t>Not Started</t>
        </is>
      </c>
      <c r="E116" t="inlineStr">
        <is>
          <t>Medium</t>
        </is>
      </c>
      <c r="F116" t="inlineStr">
        <is>
          <t>Closer to start date</t>
        </is>
      </c>
      <c r="G116" t="inlineStr">
        <is>
          <t>Tool allocation</t>
        </is>
      </c>
      <c r="H116" t="inlineStr">
        <is>
          <t>Schedule training near active start.</t>
        </is>
      </c>
      <c r="I116" t="inlineStr">
        <is>
          <t>Project tracking</t>
        </is>
      </c>
      <c r="J116" t="inlineStr">
        <is>
          <t>2026-05-14</t>
        </is>
      </c>
      <c r="K116" t="inlineStr">
        <is>
          <t>No</t>
        </is>
      </c>
    </row>
    <row r="117">
      <c r="A117" t="inlineStr">
        <is>
          <t>task-phase1-03-003</t>
        </is>
      </c>
      <c r="B117" t="inlineStr">
        <is>
          <t>Collect search results after 20 May search</t>
        </is>
      </c>
      <c r="C117" t="inlineStr">
        <is>
          <t>Review Team</t>
        </is>
      </c>
      <c r="D117" t="inlineStr">
        <is>
          <t>Waiting on Others</t>
        </is>
      </c>
      <c r="E117" t="inlineStr">
        <is>
          <t>Medium</t>
        </is>
      </c>
      <c r="F117" t="inlineStr">
        <is>
          <t>After 20 May</t>
        </is>
      </c>
      <c r="G117" t="inlineStr">
        <is>
          <t>Search completion</t>
        </is>
      </c>
      <c r="H117" t="inlineStr">
        <is>
          <t>Ask team to share RIS/search results after scheduled search.</t>
        </is>
      </c>
      <c r="I117" t="inlineStr">
        <is>
          <t>Project tracking</t>
        </is>
      </c>
      <c r="J117" t="inlineStr">
        <is>
          <t>2026-05-14</t>
        </is>
      </c>
      <c r="K117" t="inlineStr">
        <is>
          <t>No</t>
        </is>
      </c>
    </row>
    <row r="118">
      <c r="A118" t="inlineStr">
        <is>
          <t>task-phase1-03-004</t>
        </is>
      </c>
      <c r="B118" t="inlineStr">
        <is>
          <t>Begin setup only after RIS and review materials are available</t>
        </is>
      </c>
      <c r="C118" t="inlineStr">
        <is>
          <t>Response Team</t>
        </is>
      </c>
      <c r="D118" t="inlineStr">
        <is>
          <t>Not Started</t>
        </is>
      </c>
      <c r="E118" t="inlineStr">
        <is>
          <t>Medium</t>
        </is>
      </c>
      <c r="F118" t="inlineStr">
        <is>
          <t>After materials received</t>
        </is>
      </c>
      <c r="G118" t="inlineStr">
        <is>
          <t>RIS and review materials</t>
        </is>
      </c>
      <c r="H118" t="inlineStr">
        <is>
          <t>Start setup only when materials are available.</t>
        </is>
      </c>
      <c r="I118" t="inlineStr">
        <is>
          <t>Project tracking</t>
        </is>
      </c>
      <c r="J118" t="inlineStr">
        <is>
          <t>2026-05-14</t>
        </is>
      </c>
      <c r="K118" t="inlineStr">
        <is>
          <t>No</t>
        </is>
      </c>
    </row>
    <row r="119" ht="28" customHeight="1" s="29">
      <c r="A119" s="23" t="inlineStr">
        <is>
          <t>task-phase1-03-005</t>
        </is>
      </c>
      <c r="B119" s="23" t="inlineStr">
        <is>
          <t>Confirm Laser AI training completion</t>
        </is>
      </c>
      <c r="C119" s="23" t="inlineStr">
        <is>
          <t>Rebecca / Kate / Laser AI</t>
        </is>
      </c>
      <c r="D119" s="23" t="inlineStr">
        <is>
          <t>Complete</t>
        </is>
      </c>
      <c r="E119" s="23" t="inlineStr">
        <is>
          <t>Low</t>
        </is>
      </c>
      <c r="F119" s="27" t="n">
        <v>46169</v>
      </c>
      <c r="G119" s="23" t="inlineStr">
        <is>
          <t>Training invite</t>
        </is>
      </c>
      <c r="H119" s="23" t="inlineStr">
        <is>
          <t>Team proceeded with Laser AI training</t>
        </is>
      </c>
      <c r="I119" s="23" t="inlineStr">
        <is>
          <t>Email</t>
        </is>
      </c>
      <c r="J119" s="27" t="n">
        <v>46169</v>
      </c>
      <c r="K119" s="23" t="inlineStr">
        <is>
          <t>Yes</t>
        </is>
      </c>
    </row>
    <row r="120" ht="42" customHeight="1" s="29">
      <c r="A120" s="23" t="inlineStr">
        <is>
          <t>task-phase1-03-006</t>
        </is>
      </c>
      <c r="B120" s="23" t="inlineStr">
        <is>
          <t>Schedule methodology re-onboarding</t>
        </is>
      </c>
      <c r="C120" s="23" t="inlineStr">
        <is>
          <t>Gerald / Krishna / Review Team</t>
        </is>
      </c>
      <c r="D120" s="23" t="inlineStr">
        <is>
          <t>Complete / No longer required</t>
        </is>
      </c>
      <c r="E120" s="23" t="inlineStr">
        <is>
          <t>Medium</t>
        </is>
      </c>
      <c r="F120" s="23" t="inlineStr">
        <is>
          <t>This week</t>
        </is>
      </c>
      <c r="G120" s="23" t="inlineStr">
        <is>
          <t>Krishna could not join tool training</t>
        </is>
      </c>
      <c r="H120" s="23" t="inlineStr">
        <is>
          <t>Separate check-in needed to confirm workflow and methodology</t>
        </is>
      </c>
      <c r="I120" s="23" t="inlineStr">
        <is>
          <t>Email</t>
        </is>
      </c>
      <c r="J120" s="27" t="n">
        <v>46169</v>
      </c>
      <c r="K120" s="23" t="inlineStr">
        <is>
          <t>Yes</t>
        </is>
      </c>
    </row>
    <row r="121" ht="28" customHeight="1" s="29">
      <c r="A121" s="23" t="inlineStr">
        <is>
          <t>task-phase1-03-007</t>
        </is>
      </c>
      <c r="B121" s="23" t="inlineStr">
        <is>
          <t>Confirm updated search completion</t>
        </is>
      </c>
      <c r="C121" s="23" t="inlineStr">
        <is>
          <t>Rebecca / Kate</t>
        </is>
      </c>
      <c r="D121" s="23" t="inlineStr">
        <is>
          <t>Complete / No longer required</t>
        </is>
      </c>
      <c r="E121" s="23" t="inlineStr">
        <is>
          <t>Medium</t>
        </is>
      </c>
      <c r="F121" s="23" t="inlineStr">
        <is>
          <t>Immediate</t>
        </is>
      </c>
      <c r="G121" s="23" t="inlineStr">
        <is>
          <t>Search run around 20 May</t>
        </is>
      </c>
      <c r="H121" s="23" t="inlineStr">
        <is>
          <t>Need confirmation of final search status</t>
        </is>
      </c>
      <c r="I121" s="23" t="inlineStr">
        <is>
          <t>Email</t>
        </is>
      </c>
      <c r="J121" s="27" t="n">
        <v>46162</v>
      </c>
      <c r="K121" s="23" t="inlineStr">
        <is>
          <t>Yes</t>
        </is>
      </c>
    </row>
    <row r="122" ht="42" customHeight="1" s="29">
      <c r="A122" s="23" t="inlineStr">
        <is>
          <t>task-phase1-03-008</t>
        </is>
      </c>
      <c r="B122" s="23" t="inlineStr">
        <is>
          <t>Confirm human abstract screening status</t>
        </is>
      </c>
      <c r="C122" s="23" t="inlineStr">
        <is>
          <t>Rebecca / Kate</t>
        </is>
      </c>
      <c r="D122" s="23" t="inlineStr">
        <is>
          <t>Complete / No longer required</t>
        </is>
      </c>
      <c r="E122" s="23" t="inlineStr">
        <is>
          <t>High</t>
        </is>
      </c>
      <c r="F122" s="23" t="inlineStr">
        <is>
          <t>Immediate</t>
        </is>
      </c>
      <c r="G122" s="23" t="inlineStr">
        <is>
          <t>Parallel workflow tracking</t>
        </is>
      </c>
      <c r="H122" s="23" t="inlineStr">
        <is>
          <t>Need to confirm whether human screening started, postponed, or ongoing</t>
        </is>
      </c>
      <c r="I122" s="23" t="inlineStr">
        <is>
          <t>Email</t>
        </is>
      </c>
      <c r="J122" s="27" t="n">
        <v>46169</v>
      </c>
      <c r="K122" s="23" t="inlineStr">
        <is>
          <t>Yes</t>
        </is>
      </c>
    </row>
    <row r="123" ht="42" customHeight="1" s="29">
      <c r="A123" s="23" t="inlineStr">
        <is>
          <t>task-phase1-03-009</t>
        </is>
      </c>
      <c r="B123" s="23" t="inlineStr">
        <is>
          <t>Confirm time recording</t>
        </is>
      </c>
      <c r="C123" s="23" t="inlineStr">
        <is>
          <t>Rebecca / Kate</t>
        </is>
      </c>
      <c r="D123" s="23" t="inlineStr">
        <is>
          <t>Pending</t>
        </is>
      </c>
      <c r="E123" s="23" t="inlineStr">
        <is>
          <t>Medium</t>
        </is>
      </c>
      <c r="F123" s="23" t="inlineStr">
        <is>
          <t>Immediate</t>
        </is>
      </c>
      <c r="G123" s="23" t="inlineStr">
        <is>
          <t>Training/screening activity</t>
        </is>
      </c>
      <c r="H123" s="23" t="inlineStr">
        <is>
          <t>Confirm training and screening time have been recorded</t>
        </is>
      </c>
      <c r="I123" s="23" t="inlineStr">
        <is>
          <t>Email</t>
        </is>
      </c>
      <c r="J123" s="27" t="n">
        <v>46169</v>
      </c>
      <c r="K123" s="23" t="inlineStr">
        <is>
          <t>Yes</t>
        </is>
      </c>
    </row>
    <row r="124" s="29"/>
    <row r="125">
      <c r="A125" s="1" t="inlineStr">
        <is>
          <t>CommunicationID</t>
        </is>
      </c>
      <c r="B125" s="1" t="inlineStr">
        <is>
          <t>Date</t>
        </is>
      </c>
      <c r="C125" s="1" t="inlineStr">
        <is>
          <t>Subject</t>
        </is>
      </c>
      <c r="D125" s="1" t="inlineStr">
        <is>
          <t>People</t>
        </is>
      </c>
      <c r="E125" s="1" t="inlineStr">
        <is>
          <t>Responsible</t>
        </is>
      </c>
      <c r="F125" s="1" t="inlineStr">
        <is>
          <t>DueDate</t>
        </is>
      </c>
      <c r="G125" s="1" t="inlineStr">
        <is>
          <t>Status</t>
        </is>
      </c>
      <c r="H125" s="1" t="inlineStr">
        <is>
          <t>Summary</t>
        </is>
      </c>
      <c r="I125" s="1" t="inlineStr">
        <is>
          <t>LinkedTaskID</t>
        </is>
      </c>
      <c r="J125" s="1" t="inlineStr">
        <is>
          <t>LinkedAction</t>
        </is>
      </c>
      <c r="K125" s="1" t="inlineStr">
        <is>
          <t>SourceType</t>
        </is>
      </c>
      <c r="L125" s="1" t="inlineStr">
        <is>
          <t>SourceLink</t>
        </is>
      </c>
      <c r="M125" s="1" t="inlineStr">
        <is>
          <t>Display</t>
        </is>
      </c>
    </row>
    <row r="126">
      <c r="A126" t="inlineStr">
        <is>
          <t>comm-phase1-03-001</t>
        </is>
      </c>
      <c r="B126" t="inlineStr">
        <is>
          <t>2026-05-08</t>
        </is>
      </c>
      <c r="C126" t="inlineStr">
        <is>
          <t>Fruit and vegetable search timing</t>
        </is>
      </c>
      <c r="D126" t="inlineStr">
        <is>
          <t>Rebecca K. Hodder / Review Team</t>
        </is>
      </c>
      <c r="E126" t="inlineStr">
        <is>
          <t>Krishna / Response Team</t>
        </is>
      </c>
      <c r="F126" t="inlineStr">
        <is>
          <t>2026-05-20</t>
        </is>
      </c>
      <c r="G126" t="inlineStr">
        <is>
          <t>Waiting on Others</t>
        </is>
      </c>
      <c r="H126" t="inlineStr">
        <is>
          <t>Search is expected around 20 May; setup and training should be aligned closer to the active start date.</t>
        </is>
      </c>
      <c r="I126" t="inlineStr">
        <is>
          <t>task-phase1-03-003</t>
        </is>
      </c>
      <c r="J126" t="inlineStr">
        <is>
          <t>Collect search results after 20 May search</t>
        </is>
      </c>
      <c r="K126" t="inlineStr">
        <is>
          <t>Email</t>
        </is>
      </c>
      <c r="M126" t="inlineStr">
        <is>
          <t>No</t>
        </is>
      </c>
    </row>
    <row r="127">
      <c r="A127" t="inlineStr">
        <is>
          <t>comm-phase1-03-002</t>
        </is>
      </c>
      <c r="B127" t="inlineStr">
        <is>
          <t>2026-05-14</t>
        </is>
      </c>
      <c r="C127" t="inlineStr">
        <is>
          <t>Fruit and vegetable setup planning</t>
        </is>
      </c>
      <c r="D127" t="inlineStr">
        <is>
          <t>Krishna</t>
        </is>
      </c>
      <c r="E127" t="inlineStr">
        <is>
          <t>Review Team / Response Team</t>
        </is>
      </c>
      <c r="F127" t="inlineStr">
        <is>
          <t>2026-05-20</t>
        </is>
      </c>
      <c r="G127" t="inlineStr">
        <is>
          <t>Pending</t>
        </is>
      </c>
      <c r="H127" t="inlineStr">
        <is>
          <t>Need to confirm allocated tool, review team access, and collect RIS/search results after the scheduled search.</t>
        </is>
      </c>
      <c r="I127" t="inlineStr">
        <is>
          <t>task-phase1-03-001</t>
        </is>
      </c>
      <c r="J127" t="inlineStr">
        <is>
          <t>Confirm allocated AI tool and review team access</t>
        </is>
      </c>
      <c r="K127" t="inlineStr">
        <is>
          <t>Project tracking</t>
        </is>
      </c>
      <c r="M127" t="inlineStr">
        <is>
          <t>No</t>
        </is>
      </c>
    </row>
    <row r="128" s="29">
      <c r="A128" t="inlineStr">
        <is>
          <t>comm-phase1-03-004</t>
        </is>
      </c>
      <c r="B128" s="22" t="n">
        <v>46162</v>
      </c>
      <c r="C128" t="inlineStr">
        <is>
          <t>Fruit &amp; Veg updated search</t>
        </is>
      </c>
      <c r="D128" t="inlineStr">
        <is>
          <t>Kate / Rebecca / Krishna</t>
        </is>
      </c>
      <c r="E128" t="inlineStr">
        <is>
          <t>Rebecca / Kate</t>
        </is>
      </c>
      <c r="F128" t="inlineStr">
        <is>
          <t>Immediate</t>
        </is>
      </c>
      <c r="G128" t="inlineStr">
        <is>
          <t>Open</t>
        </is>
      </c>
      <c r="H128" t="inlineStr">
        <is>
          <t>Kate informed that the updated search was being run and asked about training timing</t>
        </is>
      </c>
      <c r="I128" t="inlineStr">
        <is>
          <t>task-phase1-03-007</t>
        </is>
      </c>
      <c r="J128" t="inlineStr">
        <is>
          <t>Confirm search completion</t>
        </is>
      </c>
      <c r="K128" t="inlineStr">
        <is>
          <t>Email</t>
        </is>
      </c>
      <c r="M128" t="inlineStr">
        <is>
          <t>Yes</t>
        </is>
      </c>
    </row>
    <row r="129" s="29">
      <c r="A129" t="inlineStr">
        <is>
          <t>comm-phase1-03-005</t>
        </is>
      </c>
      <c r="B129" s="22" t="n">
        <v>46168</v>
      </c>
      <c r="C129" t="inlineStr">
        <is>
          <t>Fruit &amp; Veg Laser AI training invite</t>
        </is>
      </c>
      <c r="D129" t="inlineStr">
        <is>
          <t>Krishna / Rebecca / Kate</t>
        </is>
      </c>
      <c r="E129" t="inlineStr">
        <is>
          <t>Rebecca / Kate</t>
        </is>
      </c>
      <c r="F129" s="22" t="n">
        <v>46169</v>
      </c>
      <c r="G129" t="inlineStr">
        <is>
          <t>Complete</t>
        </is>
      </c>
      <c r="H129" t="inlineStr">
        <is>
          <t>Team was asked to confirm receipt of Laser AI training invite</t>
        </is>
      </c>
      <c r="I129" t="inlineStr">
        <is>
          <t>task-phase1-03-005</t>
        </is>
      </c>
      <c r="J129" t="inlineStr">
        <is>
          <t>Confirm training completion</t>
        </is>
      </c>
      <c r="K129" t="inlineStr">
        <is>
          <t>Email</t>
        </is>
      </c>
      <c r="M129" t="inlineStr">
        <is>
          <t>Yes</t>
        </is>
      </c>
    </row>
    <row r="130" s="29">
      <c r="A130" t="inlineStr">
        <is>
          <t>comm-phase1-03-006</t>
        </is>
      </c>
      <c r="B130" s="22" t="n">
        <v>46168</v>
      </c>
      <c r="C130" t="inlineStr">
        <is>
          <t>Rebecca team onboarding update</t>
        </is>
      </c>
      <c r="D130" t="inlineStr">
        <is>
          <t>Krishna / Gerald</t>
        </is>
      </c>
      <c r="E130" t="inlineStr">
        <is>
          <t>Gerald / Krishna</t>
        </is>
      </c>
      <c r="F130" t="inlineStr">
        <is>
          <t>This week</t>
        </is>
      </c>
      <c r="G130" t="inlineStr">
        <is>
          <t>Open</t>
        </is>
      </c>
      <c r="H130" t="inlineStr">
        <is>
          <t>Gerald was informed that Laser AI session was scheduled for Rebecca and Kate’s team</t>
        </is>
      </c>
      <c r="I130" t="inlineStr">
        <is>
          <t>task-phase1-03-006</t>
        </is>
      </c>
      <c r="J130" t="inlineStr">
        <is>
          <t>Schedule methodology re-onboarding</t>
        </is>
      </c>
      <c r="K130" t="inlineStr">
        <is>
          <t>Email</t>
        </is>
      </c>
      <c r="M130" t="inlineStr">
        <is>
          <t>Yes</t>
        </is>
      </c>
    </row>
    <row r="131" s="29">
      <c r="A131" t="inlineStr">
        <is>
          <t>comm-phase1-03-007</t>
        </is>
      </c>
      <c r="B131" s="22" t="n">
        <v>46169</v>
      </c>
      <c r="C131" t="inlineStr">
        <is>
          <t>Laser AI training follow-up</t>
        </is>
      </c>
      <c r="D131" t="inlineStr">
        <is>
          <t>Krishna / Kate / Rebecca</t>
        </is>
      </c>
      <c r="E131" t="inlineStr">
        <is>
          <t>Krishna / Review Team</t>
        </is>
      </c>
      <c r="F131" t="inlineStr">
        <is>
          <t>This week</t>
        </is>
      </c>
      <c r="G131" t="inlineStr">
        <is>
          <t>Open</t>
        </is>
      </c>
      <c r="H131" t="inlineStr">
        <is>
          <t>Krishna could not join due to 2 AM timing and noted that a separate check-in would be needed</t>
        </is>
      </c>
      <c r="I131" t="inlineStr">
        <is>
          <t>task-phase1-03-006</t>
        </is>
      </c>
      <c r="J131" t="inlineStr">
        <is>
          <t>Arrange re-onboarding</t>
        </is>
      </c>
      <c r="K131" t="inlineStr">
        <is>
          <t>Email</t>
        </is>
      </c>
      <c r="M131" t="inlineStr">
        <is>
          <t>Yes</t>
        </is>
      </c>
    </row>
    <row r="132" s="29">
      <c r="A132" t="inlineStr">
        <is>
          <t>comm-phase1-03-008</t>
        </is>
      </c>
      <c r="B132" s="22" t="n">
        <v>46169</v>
      </c>
      <c r="C132" t="inlineStr">
        <is>
          <t>Human screening status follow-up</t>
        </is>
      </c>
      <c r="D132" t="inlineStr">
        <is>
          <t>Krishna / Rebecca / Kate</t>
        </is>
      </c>
      <c r="E132" t="inlineStr">
        <is>
          <t>Rebecca / Kate</t>
        </is>
      </c>
      <c r="F132" t="inlineStr">
        <is>
          <t>Immediate</t>
        </is>
      </c>
      <c r="G132" t="inlineStr">
        <is>
          <t>Open</t>
        </is>
      </c>
      <c r="H132" t="inlineStr">
        <is>
          <t>Human abstract screening status still needs confirmation for parallel workflow tracking</t>
        </is>
      </c>
      <c r="I132" t="inlineStr">
        <is>
          <t>task-phase1-03-008</t>
        </is>
      </c>
      <c r="J132" t="inlineStr">
        <is>
          <t>Confirm human screening status</t>
        </is>
      </c>
      <c r="K132" t="inlineStr">
        <is>
          <t>Email</t>
        </is>
      </c>
      <c r="M132" t="inlineStr">
        <is>
          <t>Yes</t>
        </is>
      </c>
    </row>
    <row r="133" s="29"/>
    <row r="134">
      <c r="A134" s="5" t="inlineStr">
        <is>
          <t>Critical Items Displayed in Dashboard</t>
        </is>
      </c>
      <c r="B134" s="5" t="n"/>
      <c r="C134" s="5" t="n"/>
      <c r="D134" s="5" t="n"/>
      <c r="E134" s="5" t="n"/>
      <c r="F134" s="5" t="n"/>
      <c r="G134" s="5" t="n"/>
      <c r="H134" s="5" t="n"/>
      <c r="I134" s="5" t="n"/>
      <c r="J134" s="5" t="n"/>
    </row>
    <row r="135">
      <c r="A135" s="1" t="inlineStr">
        <is>
          <t>CriticalItem</t>
        </is>
      </c>
      <c r="B135" s="1" t="inlineStr">
        <is>
          <t>Severity</t>
        </is>
      </c>
      <c r="C135" s="1" t="inlineStr">
        <is>
          <t>Owner</t>
        </is>
      </c>
      <c r="D135" s="1" t="inlineStr">
        <is>
          <t>DueDate</t>
        </is>
      </c>
      <c r="E135" s="1" t="inlineStr">
        <is>
          <t>Status</t>
        </is>
      </c>
      <c r="F135" s="1" t="inlineStr">
        <is>
          <t>Notes</t>
        </is>
      </c>
      <c r="G135" s="1" t="inlineStr">
        <is>
          <t>Display</t>
        </is>
      </c>
    </row>
    <row r="136">
      <c r="A136" t="inlineStr">
        <is>
          <t>CriticalItem</t>
        </is>
      </c>
      <c r="B136" t="inlineStr">
        <is>
          <t>Severity</t>
        </is>
      </c>
      <c r="C136" t="inlineStr">
        <is>
          <t>Owner</t>
        </is>
      </c>
      <c r="D136" t="inlineStr">
        <is>
          <t>DueDate</t>
        </is>
      </c>
      <c r="E136" t="inlineStr">
        <is>
          <t>Status</t>
        </is>
      </c>
      <c r="F136" t="inlineStr">
        <is>
          <t>Notes</t>
        </is>
      </c>
      <c r="G136" t="inlineStr">
        <is>
          <t>Display</t>
        </is>
      </c>
    </row>
    <row r="137">
      <c r="A137" t="inlineStr">
        <is>
          <t>Re-onboarding no longer required</t>
        </is>
      </c>
      <c r="B137" t="inlineStr">
        <is>
          <t>Medium</t>
        </is>
      </c>
      <c r="C137" t="inlineStr">
        <is>
          <t>Gerald / Krishna / Review Team</t>
        </is>
      </c>
      <c r="D137" t="inlineStr">
        <is>
          <t>This week</t>
        </is>
      </c>
      <c r="E137" t="inlineStr">
        <is>
          <t>Closed</t>
        </is>
      </c>
      <c r="F137" t="inlineStr">
        <is>
          <t>Needed because Krishna could not join the Laser AI tool training session</t>
        </is>
      </c>
      <c r="G137" t="inlineStr">
        <is>
          <t>Yes</t>
        </is>
      </c>
    </row>
    <row r="138">
      <c r="A138" t="inlineStr">
        <is>
          <t>Human abstract screening confirmed complete</t>
        </is>
      </c>
      <c r="B138" t="inlineStr">
        <is>
          <t>High</t>
        </is>
      </c>
      <c r="C138" t="inlineStr">
        <is>
          <t>Rebecca / Kate</t>
        </is>
      </c>
      <c r="D138" t="inlineStr">
        <is>
          <t>Immediate</t>
        </is>
      </c>
      <c r="E138" t="inlineStr">
        <is>
          <t>Closed</t>
        </is>
      </c>
      <c r="F138" t="inlineStr">
        <is>
          <t>Needed to ensure AI-assisted and human workflows are tracked in parallel</t>
        </is>
      </c>
      <c r="G138" t="inlineStr">
        <is>
          <t>Yes</t>
        </is>
      </c>
    </row>
    <row r="139">
      <c r="A139" t="inlineStr">
        <is>
          <t>Updated search confirmed complete</t>
        </is>
      </c>
      <c r="B139" t="inlineStr">
        <is>
          <t>Medium</t>
        </is>
      </c>
      <c r="C139" t="inlineStr">
        <is>
          <t>Rebecca / Kate</t>
        </is>
      </c>
      <c r="D139" t="inlineStr">
        <is>
          <t>Immediate</t>
        </is>
      </c>
      <c r="E139" t="inlineStr">
        <is>
          <t>Closed</t>
        </is>
      </c>
      <c r="F139" t="inlineStr">
        <is>
          <t>Search was run around 20 May, but final completion/status needs confirmation</t>
        </is>
      </c>
      <c r="G139"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1.xml><?xml version="1.0" encoding="utf-8"?>
<worksheet xmlns="http://schemas.openxmlformats.org/spreadsheetml/2006/main">
  <sheetPr>
    <outlinePr summaryBelow="1" summaryRight="1"/>
    <pageSetUpPr/>
  </sheetPr>
  <dimension ref="A1:M126"/>
  <sheetViews>
    <sheetView topLeftCell="A12" workbookViewId="0">
      <selection activeCell="E17" sqref="E17"/>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phase1-04 Med Adherence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phase1-04</t>
        </is>
      </c>
      <c r="C5" t="inlineStr">
        <is>
          <t>Yes</t>
        </is>
      </c>
    </row>
    <row r="6">
      <c r="A6" t="inlineStr">
        <is>
          <t>ShortName</t>
        </is>
      </c>
      <c r="B6" t="inlineStr">
        <is>
          <t>Med Adherence</t>
        </is>
      </c>
      <c r="C6" t="inlineStr">
        <is>
          <t>Yes</t>
        </is>
      </c>
    </row>
    <row r="7">
      <c r="A7" t="inlineStr">
        <is>
          <t>ReviewTitle</t>
        </is>
      </c>
      <c r="B7" t="inlineStr">
        <is>
          <t>Interventions for improving medication-taking ability and adherence in older adults prescribed multiple medications</t>
        </is>
      </c>
      <c r="C7" t="inlineStr">
        <is>
          <t>Yes</t>
        </is>
      </c>
    </row>
    <row r="8">
      <c r="A8" t="inlineStr">
        <is>
          <t>Phase</t>
        </is>
      </c>
      <c r="B8" t="inlineStr">
        <is>
          <t>Phase 1</t>
        </is>
      </c>
      <c r="C8" t="inlineStr">
        <is>
          <t>Yes</t>
        </is>
      </c>
    </row>
    <row r="9">
      <c r="A9" t="inlineStr">
        <is>
          <t>Status</t>
        </is>
      </c>
      <c r="B9" t="inlineStr">
        <is>
          <t>Withdrawn</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Amanda Cross / Rehan Sarwar</t>
        </is>
      </c>
      <c r="C12" t="inlineStr">
        <is>
          <t>Yes</t>
        </is>
      </c>
    </row>
    <row r="13">
      <c r="A13" t="inlineStr">
        <is>
          <t>CurrentStage</t>
        </is>
      </c>
      <c r="B13" t="inlineStr">
        <is>
          <t>Team has withdrawn from the platform study due to capacity constraints</t>
        </is>
      </c>
      <c r="C13" t="inlineStr">
        <is>
          <t>Yes</t>
        </is>
      </c>
    </row>
    <row r="14">
      <c r="A14" t="inlineStr">
        <is>
          <t>CurrentUpdate</t>
        </is>
      </c>
      <c r="B14" t="inlineStr">
        <is>
          <t>Team has withdrawn from the platform study due to capacity constraints</t>
        </is>
      </c>
      <c r="C14" t="inlineStr">
        <is>
          <t>Yes</t>
        </is>
      </c>
    </row>
    <row r="15">
      <c r="A15" t="inlineStr">
        <is>
          <t>NextAction</t>
        </is>
      </c>
      <c r="B15" t="inlineStr">
        <is>
          <t>Retain as withdrawn/historical record; no active follow-up required</t>
        </is>
      </c>
      <c r="C15" t="inlineStr">
        <is>
          <t>Yes</t>
        </is>
      </c>
    </row>
    <row r="16">
      <c r="A16" t="inlineStr">
        <is>
          <t>TargetDate</t>
        </is>
      </c>
      <c r="C16" t="inlineStr">
        <is>
          <t>Yes</t>
        </is>
      </c>
    </row>
    <row r="17">
      <c r="A17" t="inlineStr">
        <is>
          <t>Variance</t>
        </is>
      </c>
      <c r="B17" t="inlineStr">
        <is>
          <t>Withdrawn due to team capacity constraints</t>
        </is>
      </c>
      <c r="C17" t="inlineStr">
        <is>
          <t>Yes</t>
        </is>
      </c>
    </row>
    <row r="18">
      <c r="A18" t="inlineStr">
        <is>
          <t>Assessment</t>
        </is>
      </c>
      <c r="B18" t="inlineStr">
        <is>
          <t>Withdrawn</t>
        </is>
      </c>
      <c r="C18" t="inlineStr">
        <is>
          <t>Yes</t>
        </is>
      </c>
    </row>
    <row r="19">
      <c r="A19" t="inlineStr">
        <is>
          <t>DisplayInHTML</t>
        </is>
      </c>
      <c r="B19" t="inlineStr">
        <is>
          <t>No</t>
        </is>
      </c>
      <c r="C19" t="inlineStr">
        <is>
          <t>No</t>
        </is>
      </c>
      <c r="D19" t="inlineStr">
        <is>
          <t>Set to No if review should not appear in dashboard.</t>
        </is>
      </c>
    </row>
    <row r="20">
      <c r="A20" t="inlineStr">
        <is>
          <t>LastUpdated</t>
        </is>
      </c>
      <c r="B20" t="inlineStr">
        <is>
          <t>2026-08-18</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Withdrawn</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task-phase1-04-001</t>
        </is>
      </c>
      <c r="B115" t="inlineStr">
        <is>
          <t>Confirm review eligibility and participation</t>
        </is>
      </c>
      <c r="C115" t="inlineStr">
        <is>
          <t>Core Team / Review Team</t>
        </is>
      </c>
      <c r="D115" t="inlineStr">
        <is>
          <t>Under Review</t>
        </is>
      </c>
      <c r="E115" t="inlineStr">
        <is>
          <t>High</t>
        </is>
      </c>
      <c r="F115" t="inlineStr">
        <is>
          <t>2026-05-15</t>
        </is>
      </c>
      <c r="G115" t="inlineStr">
        <is>
          <t>Review confirmation</t>
        </is>
      </c>
      <c r="H115" t="inlineStr">
        <is>
          <t>Confirm whether this review can be included in Phase 1.</t>
        </is>
      </c>
      <c r="I115" t="inlineStr">
        <is>
          <t>Project tracking</t>
        </is>
      </c>
      <c r="J115" t="inlineStr">
        <is>
          <t>2026-05-14</t>
        </is>
      </c>
      <c r="K115" t="inlineStr">
        <is>
          <t>Yes</t>
        </is>
      </c>
    </row>
    <row r="116">
      <c r="A116" t="inlineStr">
        <is>
          <t>task-phase1-04-002</t>
        </is>
      </c>
      <c r="B116" t="inlineStr">
        <is>
          <t>Confirm review timeline and start date</t>
        </is>
      </c>
      <c r="C116" t="inlineStr">
        <is>
          <t>Krishna / Review Team</t>
        </is>
      </c>
      <c r="D116" t="inlineStr">
        <is>
          <t>Pending</t>
        </is>
      </c>
      <c r="E116" t="inlineStr">
        <is>
          <t>Medium</t>
        </is>
      </c>
      <c r="F116" t="inlineStr">
        <is>
          <t>TBD</t>
        </is>
      </c>
      <c r="G116" t="inlineStr">
        <is>
          <t>Team availability</t>
        </is>
      </c>
      <c r="H116" t="inlineStr">
        <is>
          <t>Agree realistic start date only if review is confirmed.</t>
        </is>
      </c>
      <c r="I116" t="inlineStr">
        <is>
          <t>Project tracking</t>
        </is>
      </c>
      <c r="J116" t="inlineStr">
        <is>
          <t>2026-05-14</t>
        </is>
      </c>
      <c r="K116" t="inlineStr">
        <is>
          <t>Yes</t>
        </is>
      </c>
    </row>
    <row r="117">
      <c r="A117" t="inlineStr">
        <is>
          <t>task-phase1-04-003</t>
        </is>
      </c>
      <c r="B117" t="inlineStr">
        <is>
          <t>Confirm allocated AI tool after eligibility decision</t>
        </is>
      </c>
      <c r="C117" t="inlineStr">
        <is>
          <t>Core Team</t>
        </is>
      </c>
      <c r="D117" t="inlineStr">
        <is>
          <t>Pending</t>
        </is>
      </c>
      <c r="E117" t="inlineStr">
        <is>
          <t>Medium</t>
        </is>
      </c>
      <c r="F117" t="inlineStr">
        <is>
          <t>TBD</t>
        </is>
      </c>
      <c r="G117" t="inlineStr">
        <is>
          <t>Eligibility decision</t>
        </is>
      </c>
      <c r="H117" t="inlineStr">
        <is>
          <t>Assign one AI tool only after eligibility and participation are confirmed.</t>
        </is>
      </c>
      <c r="I117" t="inlineStr">
        <is>
          <t>Project tracking</t>
        </is>
      </c>
      <c r="J117" t="inlineStr">
        <is>
          <t>2026-05-14</t>
        </is>
      </c>
      <c r="K117" t="inlineStr">
        <is>
          <t>Yes</t>
        </is>
      </c>
    </row>
    <row r="118">
      <c r="A118" t="inlineStr">
        <is>
          <t>task-phase1-04-004</t>
        </is>
      </c>
      <c r="B118" t="inlineStr">
        <is>
          <t>Hold setup materials request until confirmation</t>
        </is>
      </c>
      <c r="C118" t="inlineStr">
        <is>
          <t>Krishna / Review Team</t>
        </is>
      </c>
      <c r="D118" t="inlineStr">
        <is>
          <t>Not Started</t>
        </is>
      </c>
      <c r="E118" t="inlineStr">
        <is>
          <t>Low</t>
        </is>
      </c>
      <c r="F118" t="inlineStr">
        <is>
          <t>After confirmation</t>
        </is>
      </c>
      <c r="G118" t="inlineStr">
        <is>
          <t>Eligibility and allocation</t>
        </is>
      </c>
      <c r="H118" t="inlineStr">
        <is>
          <t>Do not request RIS, PDFs, criteria, or extraction materials until the review is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comm-phase1-04-001</t>
        </is>
      </c>
      <c r="B122" t="inlineStr">
        <is>
          <t>2026-05-08</t>
        </is>
      </c>
      <c r="C122" t="inlineStr">
        <is>
          <t>Chlamydia candidate tracking</t>
        </is>
      </c>
      <c r="D122" t="inlineStr">
        <is>
          <t>Elena Kostov / Core Team</t>
        </is>
      </c>
      <c r="E122" t="inlineStr">
        <is>
          <t>Krishna / Gerald / Ella</t>
        </is>
      </c>
      <c r="F122" t="inlineStr">
        <is>
          <t>2026-05-15</t>
        </is>
      </c>
      <c r="G122" t="inlineStr">
        <is>
          <t>Under Review</t>
        </is>
      </c>
      <c r="H122" t="inlineStr">
        <is>
          <t>Screening for genital chlamydia infection remains under review as a possible Phase 1 review. Eligibility, participation, timeline, and tool allocation need confirmation before setup.</t>
        </is>
      </c>
      <c r="I122" t="inlineStr">
        <is>
          <t>task-phase1-04-001</t>
        </is>
      </c>
      <c r="J122" t="inlineStr">
        <is>
          <t>Confirm review eligibility and participation</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Eligibility and participation not confirmed</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D8" sqref="D8"/>
    </sheetView>
  </sheetViews>
  <sheetFormatPr baseColWidth="8" defaultRowHeight="14"/>
  <sheetData>
    <row r="1">
      <c r="A1" t="inlineStr">
        <is>
          <t>Resources</t>
        </is>
      </c>
    </row>
    <row r="3">
      <c r="A3" t="inlineStr">
        <is>
          <t>ResourceID</t>
        </is>
      </c>
      <c r="B3" t="inlineStr">
        <is>
          <t>ResourceName</t>
        </is>
      </c>
      <c r="C3" t="inlineStr">
        <is>
          <t>Description</t>
        </is>
      </c>
      <c r="D3" t="inlineStr">
        <is>
          <t>ResourceType</t>
        </is>
      </c>
      <c r="E3" t="inlineStr">
        <is>
          <t>URL</t>
        </is>
      </c>
      <c r="F3" t="inlineStr">
        <is>
          <t>Owner</t>
        </is>
      </c>
      <c r="G3" t="inlineStr">
        <is>
          <t>LinkedPhase</t>
        </is>
      </c>
      <c r="H3" t="inlineStr">
        <is>
          <t>LinkedReviewID</t>
        </is>
      </c>
      <c r="I3" t="inlineStr">
        <is>
          <t>Status</t>
        </is>
      </c>
      <c r="J3" t="inlineStr">
        <is>
          <t>DisplayInHTML</t>
        </is>
      </c>
      <c r="K3" t="inlineStr">
        <is>
          <t>DisplayOrder</t>
        </is>
      </c>
      <c r="L3" t="inlineStr">
        <is>
          <t>LastUpdated</t>
        </is>
      </c>
      <c r="M3" t="inlineStr">
        <is>
          <t>InternalNotes</t>
        </is>
      </c>
    </row>
    <row r="4">
      <c r="A4" t="inlineStr">
        <is>
          <t>res-001</t>
        </is>
      </c>
      <c r="B4" t="inlineStr">
        <is>
          <t>2026 AI platform study shared folder</t>
        </is>
      </c>
      <c r="C4" t="inlineStr">
        <is>
          <t>Current shared folder in the AI Methods Group location; use this version going forward.</t>
        </is>
      </c>
      <c r="D4" t="inlineStr">
        <is>
          <t>Folder</t>
        </is>
      </c>
      <c r="E4" t="inlineStr">
        <is>
          <t>https://cochranecollaboration.sharepoint.com/sites/EPM-EPRI/AI%20Methods%20Group/AI%20Methods%20Group%20%28shared%20folder%29/2026_AI%20platform%20study%20%28Shared%20folder%29</t>
        </is>
      </c>
      <c r="F4" t="inlineStr">
        <is>
          <t>Krishna</t>
        </is>
      </c>
      <c r="G4" t="inlineStr">
        <is>
          <t>Phase 1</t>
        </is>
      </c>
      <c r="H4" t="inlineStr">
        <is>
          <t>All</t>
        </is>
      </c>
      <c r="I4" t="inlineStr">
        <is>
          <t>Active</t>
        </is>
      </c>
      <c r="J4" t="inlineStr">
        <is>
          <t>Yes</t>
        </is>
      </c>
      <c r="K4" t="n">
        <v>1</v>
      </c>
      <c r="L4" t="inlineStr">
        <is>
          <t>2026-07-28</t>
        </is>
      </c>
      <c r="M4" t="inlineStr">
        <is>
          <t>Current source of truth. Sean updated shortcuts; the old folder should be deleted or clearly archived to avoid confusion.</t>
        </is>
      </c>
    </row>
    <row r="5">
      <c r="A5" t="inlineStr">
        <is>
          <t>res-002</t>
        </is>
      </c>
      <c r="B5" t="inlineStr">
        <is>
          <t>Scope document</t>
        </is>
      </c>
      <c r="C5" t="inlineStr">
        <is>
          <t>Protocol/scope document for the study.</t>
        </is>
      </c>
      <c r="D5" t="inlineStr">
        <is>
          <t>PDF</t>
        </is>
      </c>
      <c r="E5" t="inlineStr">
        <is>
          <t>https://example.com/scope</t>
        </is>
      </c>
      <c r="F5" t="inlineStr">
        <is>
          <t>Krishna</t>
        </is>
      </c>
      <c r="G5" t="inlineStr">
        <is>
          <t>Phase 1</t>
        </is>
      </c>
      <c r="H5" t="inlineStr">
        <is>
          <t>All</t>
        </is>
      </c>
      <c r="I5" t="inlineStr">
        <is>
          <t>Active</t>
        </is>
      </c>
      <c r="J5" t="inlineStr">
        <is>
          <t>Yes</t>
        </is>
      </c>
      <c r="K5" t="n">
        <v>2</v>
      </c>
      <c r="L5" s="22" t="n">
        <v>46156</v>
      </c>
    </row>
    <row r="6">
      <c r="A6" t="inlineStr">
        <is>
          <t>res-003</t>
        </is>
      </c>
      <c r="B6" t="inlineStr">
        <is>
          <t>Review team onboarding slides</t>
        </is>
      </c>
      <c r="C6" t="inlineStr">
        <is>
          <t>Presentation shared with review teams.</t>
        </is>
      </c>
      <c r="D6" t="inlineStr">
        <is>
          <t>Presentation</t>
        </is>
      </c>
      <c r="E6" t="inlineStr">
        <is>
          <t>https://example.com/onboarding</t>
        </is>
      </c>
      <c r="F6" t="inlineStr">
        <is>
          <t>Krishna</t>
        </is>
      </c>
      <c r="G6" t="inlineStr">
        <is>
          <t>Phase 1</t>
        </is>
      </c>
      <c r="H6" t="inlineStr">
        <is>
          <t>All</t>
        </is>
      </c>
      <c r="I6" t="inlineStr">
        <is>
          <t>Active</t>
        </is>
      </c>
      <c r="J6" t="inlineStr">
        <is>
          <t>Yes</t>
        </is>
      </c>
      <c r="K6" t="n">
        <v>3</v>
      </c>
      <c r="L6" s="22" t="n">
        <v>46156</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M126"/>
  <sheetViews>
    <sheetView topLeftCell="A12"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phase1-05 Vitamin C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phase1-05</t>
        </is>
      </c>
      <c r="C5" t="inlineStr">
        <is>
          <t>Yes</t>
        </is>
      </c>
    </row>
    <row r="6">
      <c r="A6" t="inlineStr">
        <is>
          <t>ShortName</t>
        </is>
      </c>
      <c r="B6" t="inlineStr">
        <is>
          <t>Vitamin C</t>
        </is>
      </c>
      <c r="C6" t="inlineStr">
        <is>
          <t>Yes</t>
        </is>
      </c>
    </row>
    <row r="7">
      <c r="A7" t="inlineStr">
        <is>
          <t>ReviewTitle</t>
        </is>
      </c>
      <c r="B7" t="inlineStr">
        <is>
          <t>Vitamin C supplementation for prevention and treatment of pneumonia</t>
        </is>
      </c>
      <c r="C7" t="inlineStr">
        <is>
          <t>Yes</t>
        </is>
      </c>
    </row>
    <row r="8">
      <c r="A8" t="inlineStr">
        <is>
          <t>Phase</t>
        </is>
      </c>
      <c r="B8" t="inlineStr">
        <is>
          <t>Phase 1</t>
        </is>
      </c>
      <c r="C8" t="inlineStr">
        <is>
          <t>Yes</t>
        </is>
      </c>
    </row>
    <row r="9">
      <c r="A9" t="inlineStr">
        <is>
          <t>Status</t>
        </is>
      </c>
      <c r="B9" t="inlineStr">
        <is>
          <t>Laser AI setup complete; decision-flow approval pending</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Syeda Kanza Naqvi / Jai Das</t>
        </is>
      </c>
      <c r="C12" t="inlineStr">
        <is>
          <t>Yes</t>
        </is>
      </c>
    </row>
    <row r="13">
      <c r="A13" t="inlineStr">
        <is>
          <t>CurrentStage</t>
        </is>
      </c>
      <c r="B13" t="inlineStr">
        <is>
          <t>Laser AI project created with 3,486 deduplicated references</t>
        </is>
      </c>
      <c r="C13" t="inlineStr">
        <is>
          <t>Yes</t>
        </is>
      </c>
    </row>
    <row r="14">
      <c r="A14" t="inlineStr">
        <is>
          <t>CurrentUpdate</t>
        </is>
      </c>
      <c r="B14" t="inlineStr">
        <is>
          <t>Laser AI project created with 3,486 deduplicated references</t>
        </is>
      </c>
      <c r="C14" t="inlineStr">
        <is>
          <t>Yes</t>
        </is>
      </c>
    </row>
    <row r="15">
      <c r="A15" t="inlineStr">
        <is>
          <t>NextAction</t>
        </is>
      </c>
      <c r="B15" t="inlineStr">
        <is>
          <t>Review team to approve decision flow; then provide access and start screening</t>
        </is>
      </c>
      <c r="C15" t="inlineStr">
        <is>
          <t>Yes</t>
        </is>
      </c>
    </row>
    <row r="16">
      <c r="A16" t="inlineStr">
        <is>
          <t>TargetDate</t>
        </is>
      </c>
      <c r="B16" t="inlineStr">
        <is>
          <t>Awaiting review team approval</t>
        </is>
      </c>
      <c r="C16" t="inlineStr">
        <is>
          <t>Yes</t>
        </is>
      </c>
    </row>
    <row r="17">
      <c r="A17" t="inlineStr">
        <is>
          <t>Variance</t>
        </is>
      </c>
      <c r="B17" t="inlineStr">
        <is>
          <t>Setup complete; screening awaits validation</t>
        </is>
      </c>
      <c r="C17" t="inlineStr">
        <is>
          <t>Yes</t>
        </is>
      </c>
    </row>
    <row r="18">
      <c r="A18" t="inlineStr">
        <is>
          <t>Assessment</t>
        </is>
      </c>
      <c r="B18" t="inlineStr">
        <is>
          <t>Waiting on Others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2026-08-20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Complete-3,486 references uploaded</t>
        </is>
      </c>
      <c r="F25" t="inlineStr">
        <is>
          <t>Yes</t>
        </is>
      </c>
    </row>
    <row r="26">
      <c r="A26" t="inlineStr">
        <is>
          <t>abstract</t>
        </is>
      </c>
      <c r="B26" t="inlineStr">
        <is>
          <t>Awaiting decision-flow approval</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3,486 deduplicated references uploaded to Laser AI</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Decision flow prepared; review-team approval pending</t>
        </is>
      </c>
      <c r="G35" t="inlineStr">
        <is>
          <t>Yes</t>
        </is>
      </c>
    </row>
    <row r="36">
      <c r="A36" t="inlineStr">
        <is>
          <t>Extraction</t>
        </is>
      </c>
      <c r="B36" t="inlineStr">
        <is>
          <t>Yes</t>
        </is>
      </c>
      <c r="C36" t="inlineStr">
        <is>
          <t>Selected data items finalized and saved to SharePoint</t>
        </is>
      </c>
      <c r="G36" t="inlineStr">
        <is>
          <t>Yes</t>
        </is>
      </c>
    </row>
    <row r="37">
      <c r="A37" t="inlineStr">
        <is>
          <t>Protocol</t>
        </is>
      </c>
      <c r="B37" t="inlineStr">
        <is>
          <t>Yes</t>
        </is>
      </c>
      <c r="C37" t="inlineStr">
        <is>
          <t>Protocol available in SharePoint</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Setup complete-validation pending</t>
        </is>
      </c>
      <c r="G42" t="inlineStr">
        <is>
          <t>Project configured; decision flow awaiting team approval</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Under Review</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inlineStr">
        <is>
          <t>3,486 deduplicated references uploaded</t>
        </is>
      </c>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n"/>
      <c r="K59" s="18" t="n"/>
      <c r="L59" t="inlineStr">
        <is>
          <t>Protocol and eligibility criteria received.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n"/>
      <c r="K60" s="18" t="n"/>
      <c r="L60" t="inlineStr">
        <is>
          <t>35 selected data-extraction items received.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Under Review</t>
        </is>
      </c>
      <c r="J61" s="18" t="n"/>
      <c r="K61" s="18" t="n"/>
      <c r="L61" t="inlineStr">
        <is>
          <t>Comparable extraction structure requires final review.</t>
        </is>
      </c>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Under Review</t>
        </is>
      </c>
      <c r="J62" s="18" t="n"/>
      <c r="K62" s="18" t="n"/>
      <c r="L62" t="inlineStr">
        <is>
          <t>Final template approval pending.</t>
        </is>
      </c>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t="inlineStr">
        <is>
          <t>Laser AI abstract-screening project configured</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Pending</t>
        </is>
      </c>
      <c r="J64" s="18" t="n"/>
      <c r="K64" s="18" t="n"/>
      <c r="L64" s="18" t="inlineStr">
        <is>
          <t>Awaiting review-team approval of decision flow</t>
        </is>
      </c>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Approve Vitamin C decision flow</t>
        </is>
      </c>
      <c r="C115" t="inlineStr">
        <is>
          <t>Syeda Kanza Naqvi / Jai Das</t>
        </is>
      </c>
      <c r="D115" t="inlineStr">
        <is>
          <t>Pending</t>
        </is>
      </c>
      <c r="E115" t="inlineStr">
        <is>
          <t>High</t>
        </is>
      </c>
      <c r="F115" t="inlineStr">
        <is>
          <t>Awaiting review team approval</t>
        </is>
      </c>
      <c r="G115" t="inlineStr">
        <is>
          <t>Laser AI setup complete</t>
        </is>
      </c>
      <c r="H115" t="inlineStr">
        <is>
          <t>Decision flow prepared; approval required before screening begins.</t>
        </is>
      </c>
      <c r="I115" t="inlineStr">
        <is>
          <t>Email</t>
        </is>
      </c>
      <c r="J115" t="inlineStr">
        <is>
          <t>2026-08-20</t>
        </is>
      </c>
      <c r="K115" t="inlineStr">
        <is>
          <t>Yes</t>
        </is>
      </c>
    </row>
    <row r="116">
      <c r="A116" t="inlineStr">
        <is>
          <t>task-phase1-05-002</t>
        </is>
      </c>
      <c r="B116" t="inlineStr">
        <is>
          <t>Provide Laser AI access to allocated users</t>
        </is>
      </c>
      <c r="C116" t="inlineStr">
        <is>
          <t>Response Team / Laser AI</t>
        </is>
      </c>
      <c r="D116" t="inlineStr">
        <is>
          <t>Pending</t>
        </is>
      </c>
      <c r="E116" t="inlineStr">
        <is>
          <t>High</t>
        </is>
      </c>
      <c r="F116" t="inlineStr">
        <is>
          <t>After decision-flow approval</t>
        </is>
      </c>
      <c r="G116" t="inlineStr">
        <is>
          <t>Decision-flow approval</t>
        </is>
      </c>
      <c r="H116" t="inlineStr">
        <is>
          <t>Provide reviewer access after the team approves the configured flow.</t>
        </is>
      </c>
      <c r="I116" t="inlineStr">
        <is>
          <t>Project tracking</t>
        </is>
      </c>
      <c r="J116" t="inlineStr">
        <is>
          <t>2026-08-20</t>
        </is>
      </c>
      <c r="K116" t="inlineStr">
        <is>
          <t>Yes</t>
        </is>
      </c>
    </row>
    <row r="117">
      <c r="A117" t="inlineStr">
        <is>
          <t>task-phase1-05-003</t>
        </is>
      </c>
      <c r="B117" t="inlineStr">
        <is>
          <t>Start parallel abstract screening and time tracking</t>
        </is>
      </c>
      <c r="C117" t="inlineStr">
        <is>
          <t>Review Team / Krishna</t>
        </is>
      </c>
      <c r="D117" t="inlineStr">
        <is>
          <t>Not Started</t>
        </is>
      </c>
      <c r="E117" t="inlineStr">
        <is>
          <t>Medium</t>
        </is>
      </c>
      <c r="F117" t="inlineStr">
        <is>
          <t>After access</t>
        </is>
      </c>
      <c r="G117" t="inlineStr">
        <is>
          <t>Tool access and team readiness</t>
        </is>
      </c>
      <c r="H117" t="inlineStr">
        <is>
          <t>Begin both screening arms and confirm time-tracking method.</t>
        </is>
      </c>
      <c r="I117" t="inlineStr">
        <is>
          <t>Project tracking</t>
        </is>
      </c>
      <c r="J117" t="inlineStr">
        <is>
          <t>2026-08-20</t>
        </is>
      </c>
      <c r="K117" t="inlineStr">
        <is>
          <t>Yes</t>
        </is>
      </c>
    </row>
    <row r="118">
      <c r="A118" t="inlineStr">
        <is>
          <t>task-phase1-05-004</t>
        </is>
      </c>
      <c r="B118" t="inlineStr">
        <is>
          <t>Confirm finalized SharePoint package</t>
        </is>
      </c>
      <c r="C118" t="inlineStr">
        <is>
          <t>Krishna / Review Team</t>
        </is>
      </c>
      <c r="D118" t="inlineStr">
        <is>
          <t>Under Review</t>
        </is>
      </c>
      <c r="E118" t="inlineStr">
        <is>
          <t>Medium</t>
        </is>
      </c>
      <c r="F118" t="inlineStr">
        <is>
          <t>Immediate</t>
        </is>
      </c>
      <c r="G118" t="inlineStr">
        <is>
          <t>Protocol, criteria and data items</t>
        </is>
      </c>
      <c r="H118" t="inlineStr">
        <is>
          <t>Confirm the SharePoint package contains final protocol, criteria and selected data items.</t>
        </is>
      </c>
      <c r="I118" t="inlineStr">
        <is>
          <t>Project tracking</t>
        </is>
      </c>
      <c r="J118" t="inlineStr">
        <is>
          <t>2026-08-20</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n"/>
    </row>
    <row r="122">
      <c r="A122" t="inlineStr">
        <is>
          <t>comm-phase1-05-001</t>
        </is>
      </c>
      <c r="B122" t="inlineStr">
        <is>
          <t>2026-08-20</t>
        </is>
      </c>
      <c r="C122" t="inlineStr">
        <is>
          <t>Vitamin C setup completed</t>
        </is>
      </c>
      <c r="D122" t="inlineStr">
        <is>
          <t>Krishna / Response Team / Review Team</t>
        </is>
      </c>
      <c r="E122" t="inlineStr">
        <is>
          <t>Review Team</t>
        </is>
      </c>
      <c r="F122" t="inlineStr">
        <is>
          <t>Awaiting review team approval</t>
        </is>
      </c>
      <c r="G122" t="inlineStr">
        <is>
          <t>Pending</t>
        </is>
      </c>
      <c r="H122" t="inlineStr">
        <is>
          <t>Laser AI project created with 3,486 deduplicated references; decision-flow approval is the next gating step.</t>
        </is>
      </c>
      <c r="I122" t="inlineStr">
        <is>
          <t>task-phase1-05-001</t>
        </is>
      </c>
      <c r="J122" t="inlineStr">
        <is>
          <t>Approve Vitamin C decision flow</t>
        </is>
      </c>
      <c r="K122" t="inlineStr">
        <is>
          <t>Email</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Decision-flow approval pending</t>
        </is>
      </c>
      <c r="B126" t="inlineStr">
        <is>
          <t>High</t>
        </is>
      </c>
      <c r="C126" t="inlineStr">
        <is>
          <t>Syeda Kanza Naqvi / Jai Das</t>
        </is>
      </c>
      <c r="D126" t="inlineStr">
        <is>
          <t>Awaiting review team approval</t>
        </is>
      </c>
      <c r="E126" t="inlineStr">
        <is>
          <t>Open</t>
        </is>
      </c>
      <c r="F126" t="inlineStr">
        <is>
          <t>Screening cannot start until the configured decision flow is approved.</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4.xml><?xml version="1.0" encoding="utf-8"?>
<worksheet xmlns="http://schemas.openxmlformats.org/spreadsheetml/2006/main">
  <sheetPr>
    <outlinePr summaryBelow="1" summaryRight="1"/>
    <pageSetUpPr/>
  </sheetPr>
  <dimension ref="A1:M123"/>
  <sheetViews>
    <sheetView topLeftCell="A3" workbookViewId="0">
      <selection activeCell="E11" sqref="E1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phase2-01 Phase 2 Batch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phase2-01</t>
        </is>
      </c>
      <c r="C5" t="inlineStr">
        <is>
          <t>Yes</t>
        </is>
      </c>
    </row>
    <row r="6">
      <c r="A6" t="inlineStr">
        <is>
          <t>ShortName</t>
        </is>
      </c>
      <c r="B6" t="inlineStr">
        <is>
          <t>Phase 2 Batch</t>
        </is>
      </c>
      <c r="C6" t="inlineStr">
        <is>
          <t>Yes</t>
        </is>
      </c>
    </row>
    <row r="7">
      <c r="A7" t="inlineStr">
        <is>
          <t>ReviewTitle</t>
        </is>
      </c>
      <c r="B7" t="inlineStr">
        <is>
          <t>Phase 2 Batch</t>
        </is>
      </c>
      <c r="C7" t="inlineStr">
        <is>
          <t>Yes</t>
        </is>
      </c>
    </row>
    <row r="8">
      <c r="A8" t="inlineStr">
        <is>
          <t>Phase</t>
        </is>
      </c>
      <c r="B8" t="inlineStr">
        <is>
          <t>Phase 2</t>
        </is>
      </c>
      <c r="C8" t="inlineStr">
        <is>
          <t>Yes</t>
        </is>
      </c>
    </row>
    <row r="9">
      <c r="A9" t="inlineStr">
        <is>
          <t>Status</t>
        </is>
      </c>
      <c r="B9" t="inlineStr">
        <is>
          <t>Scheduled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TBD</t>
        </is>
      </c>
      <c r="C12" t="inlineStr">
        <is>
          <t>Yes</t>
        </is>
      </c>
    </row>
    <row r="13">
      <c r="A13" t="inlineStr">
        <is>
          <t>CurrentStage</t>
        </is>
      </c>
      <c r="B13" t="inlineStr">
        <is>
          <t>Future batch planning</t>
        </is>
      </c>
      <c r="C13" t="inlineStr">
        <is>
          <t>Yes</t>
        </is>
      </c>
    </row>
    <row r="14">
      <c r="A14" t="inlineStr">
        <is>
          <t>CurrentUpdate</t>
        </is>
      </c>
      <c r="B14" t="inlineStr">
        <is>
          <t>No update recorded.</t>
        </is>
      </c>
      <c r="C14" t="inlineStr">
        <is>
          <t>Yes</t>
        </is>
      </c>
    </row>
    <row r="15">
      <c r="A15" t="inlineStr">
        <is>
          <t>NextAction</t>
        </is>
      </c>
      <c r="B15" t="inlineStr">
        <is>
          <t>Keep placeholders until Phase 1 stabilizes.</t>
        </is>
      </c>
      <c r="C15" t="inlineStr">
        <is>
          <t>Yes</t>
        </is>
      </c>
    </row>
    <row r="16">
      <c r="A16" t="inlineStr">
        <is>
          <t>TargetDate</t>
        </is>
      </c>
      <c r="B16" t="inlineStr">
        <is>
          <t>TBD</t>
        </is>
      </c>
      <c r="C16" t="inlineStr">
        <is>
          <t>Yes</t>
        </is>
      </c>
    </row>
    <row r="17">
      <c r="A17" t="inlineStr">
        <is>
          <t>Variance</t>
        </is>
      </c>
      <c r="B17" t="inlineStr">
        <is>
          <t>Phase 2 depends on Phase 1 stabilization and lessons learned.</t>
        </is>
      </c>
      <c r="C17" t="inlineStr">
        <is>
          <t>Yes</t>
        </is>
      </c>
    </row>
    <row r="18">
      <c r="A18" t="inlineStr">
        <is>
          <t>Assessment</t>
        </is>
      </c>
      <c r="B18" t="inlineStr">
        <is>
          <t>Not Started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2026-08-18</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task-phase2-01-001</t>
        </is>
      </c>
      <c r="B115" t="inlineStr">
        <is>
          <t>Keep Phase 2 placeholder until Phase 1 stabilizes</t>
        </is>
      </c>
      <c r="C115" t="inlineStr">
        <is>
          <t>Krishna / Core Team</t>
        </is>
      </c>
      <c r="D115" t="inlineStr">
        <is>
          <t>Scheduled</t>
        </is>
      </c>
      <c r="E115" t="inlineStr">
        <is>
          <t>Medium</t>
        </is>
      </c>
      <c r="F115" t="inlineStr">
        <is>
          <t>After Phase 1</t>
        </is>
      </c>
      <c r="G115" t="inlineStr">
        <is>
          <t>Phase 1 lessons learned</t>
        </is>
      </c>
      <c r="H115" t="inlineStr">
        <is>
          <t>Use Phase 1 lessons before scaling Phase 2.</t>
        </is>
      </c>
      <c r="I115" t="inlineStr">
        <is>
          <t>Project tracking</t>
        </is>
      </c>
      <c r="J115" t="inlineStr">
        <is>
          <t>2026-05-14</t>
        </is>
      </c>
      <c r="K115" t="inlineStr">
        <is>
          <t>Yes</t>
        </is>
      </c>
    </row>
    <row r="117">
      <c r="A117" s="5" t="inlineStr">
        <is>
          <t>Recent Mail / Communication Log Displayed in Dashboard</t>
        </is>
      </c>
      <c r="B117" s="5" t="n"/>
      <c r="C117" s="5" t="n"/>
      <c r="D117" s="5" t="n"/>
      <c r="E117" s="5" t="n"/>
      <c r="F117" s="5" t="n"/>
      <c r="G117" s="5" t="n"/>
      <c r="H117" s="5" t="n"/>
      <c r="I117" s="5" t="n"/>
      <c r="J117" s="5" t="n"/>
    </row>
    <row r="118">
      <c r="A118" s="1" t="inlineStr">
        <is>
          <t>CommunicationID</t>
        </is>
      </c>
      <c r="B118" s="1" t="inlineStr">
        <is>
          <t>Date</t>
        </is>
      </c>
      <c r="C118" s="1" t="inlineStr">
        <is>
          <t>Subject</t>
        </is>
      </c>
      <c r="D118" s="1" t="inlineStr">
        <is>
          <t>People</t>
        </is>
      </c>
      <c r="E118" s="1" t="inlineStr">
        <is>
          <t>Responsible</t>
        </is>
      </c>
      <c r="F118" s="1" t="inlineStr">
        <is>
          <t>DueDate</t>
        </is>
      </c>
      <c r="G118" s="1" t="inlineStr">
        <is>
          <t>Status</t>
        </is>
      </c>
      <c r="H118" s="1" t="inlineStr">
        <is>
          <t>Summary</t>
        </is>
      </c>
      <c r="I118" s="1" t="inlineStr">
        <is>
          <t>LinkedTaskID</t>
        </is>
      </c>
      <c r="J118" s="1" t="inlineStr">
        <is>
          <t>LinkedAction</t>
        </is>
      </c>
      <c r="K118" s="1" t="inlineStr">
        <is>
          <t>SourceType</t>
        </is>
      </c>
      <c r="L118" s="1" t="inlineStr">
        <is>
          <t>SourceLink</t>
        </is>
      </c>
      <c r="M118" s="1" t="inlineStr">
        <is>
          <t>Display</t>
        </is>
      </c>
    </row>
    <row r="119">
      <c r="M119" t="inlineStr">
        <is>
          <t>No</t>
        </is>
      </c>
    </row>
    <row r="121">
      <c r="A121" s="5" t="inlineStr">
        <is>
          <t>Critical Items Displayed in Dashboard</t>
        </is>
      </c>
      <c r="B121" s="5" t="n"/>
      <c r="C121" s="5" t="n"/>
      <c r="D121" s="5" t="n"/>
      <c r="E121" s="5" t="n"/>
      <c r="F121" s="5" t="n"/>
      <c r="G121" s="5" t="n"/>
      <c r="H121" s="5" t="n"/>
      <c r="I121" s="5" t="n"/>
      <c r="J121" s="5" t="n"/>
    </row>
    <row r="122">
      <c r="A122" s="1" t="inlineStr">
        <is>
          <t>CriticalItem</t>
        </is>
      </c>
      <c r="B122" s="1" t="inlineStr">
        <is>
          <t>Severity</t>
        </is>
      </c>
      <c r="C122" s="1" t="inlineStr">
        <is>
          <t>Owner</t>
        </is>
      </c>
      <c r="D122" s="1" t="inlineStr">
        <is>
          <t>DueDate</t>
        </is>
      </c>
      <c r="E122" s="1" t="inlineStr">
        <is>
          <t>Status</t>
        </is>
      </c>
      <c r="F122" s="1" t="inlineStr">
        <is>
          <t>Notes</t>
        </is>
      </c>
      <c r="G122" s="1" t="inlineStr">
        <is>
          <t>Display</t>
        </is>
      </c>
    </row>
    <row r="123">
      <c r="G123"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5.xml><?xml version="1.0" encoding="utf-8"?>
<worksheet xmlns="http://schemas.openxmlformats.org/spreadsheetml/2006/main">
  <sheetPr>
    <outlinePr summaryBelow="1" summaryRight="1"/>
    <pageSetUpPr/>
  </sheetPr>
  <dimension ref="A1:J58"/>
  <sheetViews>
    <sheetView topLeftCell="A10" zoomScaleNormal="100" workbookViewId="0">
      <selection activeCell="C14" sqref="C14"/>
    </sheetView>
  </sheetViews>
  <sheetFormatPr baseColWidth="8" defaultRowHeight="14"/>
  <cols>
    <col width="22" customWidth="1" style="29" min="1" max="1"/>
    <col width="80" customWidth="1" style="29" min="2" max="2"/>
    <col width="22" customWidth="1" style="29" min="3" max="3"/>
    <col width="20" customWidth="1" style="29" min="4" max="4"/>
    <col width="16" customWidth="1" style="29" min="5" max="5"/>
    <col width="24" customWidth="1" style="29" min="6" max="6"/>
    <col width="22" customWidth="1" style="29" min="7" max="7"/>
    <col width="52" customWidth="1" style="29" min="8" max="8"/>
    <col width="18" customWidth="1" style="29" min="9" max="9"/>
  </cols>
  <sheetData>
    <row r="1" ht="18.65" customHeight="1" s="29">
      <c r="A1" s="30" t="inlineStr">
        <is>
          <t>New Reviews Pipeline | Continuous Onboarding</t>
        </is>
      </c>
    </row>
    <row r="2" ht="14.5" customHeight="1" s="29">
      <c r="A2" s="32" t="inlineStr">
        <is>
          <t>Use this sheet to capture candidate reviews before they are converted into full review sheets. Keep it light: review name, category/status, target phase, owner, and remarks.</t>
        </is>
      </c>
    </row>
    <row r="4">
      <c r="A4" s="31" t="inlineStr">
        <is>
          <t>Pipeline Summary</t>
        </is>
      </c>
    </row>
    <row r="5">
      <c r="A5" s="14" t="inlineStr">
        <is>
          <t>Shortlisted</t>
        </is>
      </c>
      <c r="B5" s="15">
        <f>COUNTIF(CandidatePipeline[Category],"Shortlisted")</f>
        <v/>
      </c>
    </row>
    <row r="6">
      <c r="A6" s="14" t="inlineStr">
        <is>
          <t>Under Shortlisting</t>
        </is>
      </c>
      <c r="B6" s="15">
        <f>COUNTIF(CandidatePipeline[Category],"Under Shortlisting")</f>
        <v/>
      </c>
    </row>
    <row r="7">
      <c r="A7" s="14" t="inlineStr">
        <is>
          <t>Future Phase</t>
        </is>
      </c>
      <c r="B7" s="15">
        <f>COUNTIF(CandidatePipeline[Category],"Future Phase")</f>
        <v/>
      </c>
    </row>
    <row r="8">
      <c r="A8" s="14" t="inlineStr">
        <is>
          <t>Not Eligible</t>
        </is>
      </c>
      <c r="B8" s="15">
        <f>COUNTIF(CandidatePipeline[Category],"Not Eligible")</f>
        <v/>
      </c>
    </row>
    <row r="11" ht="16" customHeight="1" s="29">
      <c r="A11" s="16" t="inlineStr">
        <is>
          <t>CandidateID</t>
        </is>
      </c>
      <c r="B11" s="16" t="inlineStr">
        <is>
          <t>ReviewName</t>
        </is>
      </c>
      <c r="C11" s="16" t="inlineStr">
        <is>
          <t>Category</t>
        </is>
      </c>
      <c r="D11" s="16" t="inlineStr">
        <is>
          <t>Status</t>
        </is>
      </c>
      <c r="E11" s="16" t="inlineStr">
        <is>
          <t>TargetPhase</t>
        </is>
      </c>
      <c r="F11" s="16" t="inlineStr">
        <is>
          <t>Lead/Contact</t>
        </is>
      </c>
      <c r="G11" s="16" t="inlineStr">
        <is>
          <t>ExpectedTiming</t>
        </is>
      </c>
      <c r="H11" s="16" t="inlineStr">
        <is>
          <t>Remarks</t>
        </is>
      </c>
      <c r="I11" s="16" t="inlineStr">
        <is>
          <t>MoveToFullSheet</t>
        </is>
      </c>
      <c r="J11" t="inlineStr">
        <is>
          <t>Display</t>
        </is>
      </c>
    </row>
    <row r="12" ht="24" customHeight="1" s="29">
      <c r="A12" s="17" t="inlineStr">
        <is>
          <t>new-01</t>
        </is>
      </c>
      <c r="B12" s="17" t="inlineStr">
        <is>
          <t>Mohan Pammi — Human milk-derived fortifier versus bovine milk-derived fortifier for prevention of mortality and morbidity in preterm neonates</t>
        </is>
      </c>
      <c r="C12" s="17" t="inlineStr">
        <is>
          <t>Converted to full sheet</t>
        </is>
      </c>
      <c r="D12" t="inlineStr">
        <is>
          <t>Converted to phase1-07; Nested Knowledge setup complete and criteria approval pending</t>
        </is>
      </c>
      <c r="E12" s="17" t="inlineStr">
        <is>
          <t>Phase 1</t>
        </is>
      </c>
      <c r="F12" s="17" t="inlineStr">
        <is>
          <t>Mohan Pammi / Murali</t>
        </is>
      </c>
      <c r="G12" t="inlineStr">
        <is>
          <t>Awaiting Murali's screening-criteria approval</t>
        </is>
      </c>
      <c r="H12" t="inlineStr">
        <is>
          <t>Converted to phase1-07 Human Milk; RIS, criteria, protocol information and 35 data items received</t>
        </is>
      </c>
      <c r="I12" s="17" t="inlineStr">
        <is>
          <t>Yes</t>
        </is>
      </c>
      <c r="J12" t="inlineStr">
        <is>
          <t>No</t>
        </is>
      </c>
    </row>
    <row r="13" ht="24" customHeight="1" s="29">
      <c r="A13" s="17" t="inlineStr">
        <is>
          <t>new-02</t>
        </is>
      </c>
      <c r="B13" s="17" t="inlineStr">
        <is>
          <t>Amanda Cross - Interventions for improving medication-taking ability and adherence in older adults prescribed multiple medications</t>
        </is>
      </c>
      <c r="C13" s="17" t="inlineStr">
        <is>
          <t>Withdrawn</t>
        </is>
      </c>
      <c r="D13" s="17" t="inlineStr">
        <is>
          <t>Team has withdrawn from the platform study due to capacity constraints</t>
        </is>
      </c>
      <c r="E13" s="17" t="inlineStr">
        <is>
          <t>Phase 1</t>
        </is>
      </c>
      <c r="F13" s="17" t="inlineStr">
        <is>
          <t>Amanda Cross / Rehan Sarwar</t>
        </is>
      </c>
      <c r="G13" s="17" t="inlineStr">
        <is>
          <t>2026-06-08</t>
        </is>
      </c>
      <c r="H13" s="17" t="inlineStr">
        <is>
          <t>Withdrawn due to capacity constraints; retain as historical record</t>
        </is>
      </c>
      <c r="I13" s="17" t="inlineStr">
        <is>
          <t>No</t>
        </is>
      </c>
      <c r="J13" t="inlineStr">
        <is>
          <t>Yes</t>
        </is>
      </c>
    </row>
    <row r="14" ht="24" customHeight="1" s="29">
      <c r="A14" s="17" t="inlineStr">
        <is>
          <t>new-03</t>
        </is>
      </c>
      <c r="B14" s="17" t="inlineStr">
        <is>
          <t>Jai Das — Preventive lipid-based nutrient supplements given with complementary foods to infants and young children 6 to 23 months of age for health, nutrition, and developmental outcomes</t>
        </is>
      </c>
      <c r="C14" s="17" t="inlineStr">
        <is>
          <t>Converted to full sheet</t>
        </is>
      </c>
      <c r="D14" s="17" t="inlineStr">
        <is>
          <t>Converted to phase1-08; Laser AI setup started with four database searches outstanding</t>
        </is>
      </c>
      <c r="E14" s="17" t="inlineStr">
        <is>
          <t>Phase 1</t>
        </is>
      </c>
      <c r="F14" s="17" t="inlineStr">
        <is>
          <t>Syeda Kanza Naqvi / Jai Das</t>
        </is>
      </c>
      <c r="G14" s="17" t="inlineStr">
        <is>
          <t>Awaiting four searches</t>
        </is>
      </c>
      <c r="H14" s="17" t="inlineStr">
        <is>
          <t>Converted to phase1-08 LNS; initial files received; consolidated search set, protocol/eligibility, timeline and setup confirmation pending</t>
        </is>
      </c>
      <c r="I14" s="17" t="inlineStr">
        <is>
          <t>Yes</t>
        </is>
      </c>
      <c r="J14" t="inlineStr">
        <is>
          <t>No</t>
        </is>
      </c>
    </row>
    <row r="15" ht="24" customHeight="1" s="29">
      <c r="A15" s="17" t="inlineStr">
        <is>
          <t>new-04</t>
        </is>
      </c>
      <c r="B15" s="17" t="inlineStr">
        <is>
          <t>Jai Das — Vitamin C supplementation for prevention and treatment of pneumonia</t>
        </is>
      </c>
      <c r="C15" s="17" t="inlineStr">
        <is>
          <t>Converted to full sheet</t>
        </is>
      </c>
      <c r="D15" t="inlineStr">
        <is>
          <t>Converted to phase1-05; Laser AI setup completed with 3,486 references; decision-flow approval pending</t>
        </is>
      </c>
      <c r="E15" s="17" t="inlineStr">
        <is>
          <t>Phase 1</t>
        </is>
      </c>
      <c r="F15" s="17" t="inlineStr">
        <is>
          <t>Syeda Kanza Naqvi / Jai Das</t>
        </is>
      </c>
      <c r="G15" t="inlineStr">
        <is>
          <t>Awaiting review team approval</t>
        </is>
      </c>
      <c r="H15" t="inlineStr">
        <is>
          <t>Converted to phase1-05 Vitamin C; search strategy/database access issues remain before screening</t>
        </is>
      </c>
      <c r="I15" s="17" t="inlineStr">
        <is>
          <t>Yes</t>
        </is>
      </c>
      <c r="J15" t="inlineStr">
        <is>
          <t>No</t>
        </is>
      </c>
    </row>
    <row r="16" ht="24" customHeight="1" s="29">
      <c r="A16" s="17" t="n"/>
      <c r="B16" s="17" t="n"/>
      <c r="C16" s="17" t="n"/>
      <c r="D16" s="17" t="n"/>
      <c r="E16" s="17" t="n"/>
      <c r="F16" s="17" t="n"/>
      <c r="G16" s="17" t="n"/>
      <c r="H16" s="17" t="n"/>
      <c r="I16" s="17" t="inlineStr">
        <is>
          <t>No</t>
        </is>
      </c>
      <c r="J16" t="inlineStr">
        <is>
          <t>No</t>
        </is>
      </c>
    </row>
    <row r="17" ht="24" customHeight="1" s="29">
      <c r="A17" s="17" t="inlineStr">
        <is>
          <t>new-06</t>
        </is>
      </c>
      <c r="B17" s="17" t="inlineStr">
        <is>
          <t xml:space="preserve">Lesly Chavez Rimache / Cochrane Peru
</t>
        </is>
      </c>
      <c r="C17" s="17" t="inlineStr">
        <is>
          <t>Future Phase</t>
        </is>
      </c>
      <c r="D17" s="17" t="inlineStr">
        <is>
          <t>Two systematic review proposals have been submitted to Cochrane, but they are still awaiting evaluation/acceptance and are not yet at protocol/search stage.</t>
        </is>
      </c>
      <c r="E17" s="17" t="n"/>
      <c r="F17" s="17" t="n"/>
      <c r="G17" s="17" t="n"/>
      <c r="H17" s="17" t="n"/>
      <c r="I17" s="17" t="n"/>
    </row>
    <row r="18" ht="24" customHeight="1" s="29">
      <c r="A18" s="17" t="inlineStr">
        <is>
          <t>new-07</t>
        </is>
      </c>
      <c r="B18" s="17" t="inlineStr">
        <is>
          <t>Minyahil Tadesse / Cochrane Ethiopia</t>
        </is>
      </c>
      <c r="C18" s="17" t="inlineStr">
        <is>
          <t>Future Phase</t>
        </is>
      </c>
      <c r="D18" s="17" t="inlineStr">
        <is>
          <t>Two Cochrane protocols have been published, but the full review work/searches have not yet started</t>
        </is>
      </c>
      <c r="E18" s="17" t="n"/>
      <c r="F18" s="17" t="n"/>
      <c r="G18" s="17" t="n"/>
      <c r="H18" s="17" t="n"/>
      <c r="I18" s="17" t="n"/>
    </row>
    <row r="19" ht="24" customHeight="1" s="29">
      <c r="A19" s="17" t="inlineStr">
        <is>
          <t>new-08</t>
        </is>
      </c>
      <c r="B19" s="17" t="inlineStr">
        <is>
          <t>Francesco Nonino</t>
        </is>
      </c>
      <c r="C19" s="17" t="inlineStr">
        <is>
          <t>Future Phase</t>
        </is>
      </c>
      <c r="D19" s="17" t="inlineStr">
        <is>
          <t>No suitable updates are currently available, but he will monitor and share any potential review updates later this year.</t>
        </is>
      </c>
      <c r="E19" s="17" t="n"/>
      <c r="F19" s="17" t="n"/>
      <c r="G19" s="17" t="n"/>
      <c r="H19" s="17" t="n"/>
      <c r="I19" s="17" t="n"/>
    </row>
    <row r="20" ht="24" customHeight="1" s="29">
      <c r="A20" s="17" t="inlineStr">
        <is>
          <t>new-09</t>
        </is>
      </c>
      <c r="B20" s="17" t="inlineStr">
        <is>
          <t>Giulio Cherubini — Impact of Manual Therapy on Instrumentalist Musicians With Playing-Related Musculoskeletal Disorders: A Systematic Review</t>
        </is>
      </c>
      <c r="C20" s="17" t="inlineStr">
        <is>
          <t>Not Eligible</t>
        </is>
      </c>
      <c r="D20" s="17" t="inlineStr">
        <is>
          <t>Non-Cochrane review</t>
        </is>
      </c>
      <c r="E20" s="17" t="n"/>
      <c r="F20" s="17" t="n"/>
      <c r="G20" s="17" t="n"/>
      <c r="H20" s="17" t="n"/>
      <c r="I20" s="17" t="n"/>
    </row>
    <row r="21" ht="24" customHeight="1" s="29">
      <c r="A21" s="17" t="inlineStr">
        <is>
          <t>new-10</t>
        </is>
      </c>
      <c r="B21" s="17" t="inlineStr">
        <is>
          <t>Francesca Cecchi / Giulio Cherubini — Effects of lower limb botulinum toxin injections on gait functional outcomes in stroke survivors</t>
        </is>
      </c>
      <c r="C21" s="17" t="inlineStr">
        <is>
          <t>Not Eligible</t>
        </is>
      </c>
      <c r="D21" s="17" t="inlineStr">
        <is>
          <t>Non-Cochrane review</t>
        </is>
      </c>
      <c r="E21" s="17" t="n"/>
      <c r="F21" s="17" t="n"/>
      <c r="G21" s="17" t="n"/>
      <c r="H21" s="17" t="n"/>
      <c r="I21" s="17" t="n"/>
    </row>
    <row r="22" ht="24" customHeight="1" s="29">
      <c r="A22" s="17" t="inlineStr">
        <is>
          <t>new-11</t>
        </is>
      </c>
      <c r="B22" s="17" t="inlineStr">
        <is>
          <t>Feng Sun / Zuhaer — Automated Insulin Delivery Systems in Children and Adolescents With Type 1 Diabetes</t>
        </is>
      </c>
      <c r="C22" s="17" t="inlineStr">
        <is>
          <t>Not Eligible</t>
        </is>
      </c>
      <c r="D22" s="17" t="inlineStr">
        <is>
          <t>Non-Cochrane review</t>
        </is>
      </c>
      <c r="E22" s="17" t="n"/>
      <c r="F22" s="17" t="n"/>
      <c r="G22" s="17" t="n"/>
      <c r="H22" s="17" t="n"/>
      <c r="I22" s="17" t="n"/>
    </row>
    <row r="23" ht="24" customHeight="1" s="29">
      <c r="A23" s="17" t="inlineStr">
        <is>
          <t>new-12</t>
        </is>
      </c>
      <c r="B23" s="17" t="inlineStr">
        <is>
          <t>Patricia Clark — Effectiveness and safety of pharmacological interventions for the primary prevention of osteoporosis in postmenopausal women</t>
        </is>
      </c>
      <c r="C23" s="17" t="inlineStr">
        <is>
          <t>Not Eligible</t>
        </is>
      </c>
      <c r="D23" s="17" t="inlineStr">
        <is>
          <t>Independent/non-Cochrane review</t>
        </is>
      </c>
      <c r="E23" s="17" t="n"/>
      <c r="F23" s="17" t="n"/>
      <c r="G23" s="17" t="n"/>
      <c r="H23" s="17" t="n"/>
      <c r="I23" s="17" t="n"/>
    </row>
    <row r="24" ht="24" customHeight="1" s="29">
      <c r="A24" s="17" t="inlineStr">
        <is>
          <t>new-13</t>
        </is>
      </c>
      <c r="B24" s="17" t="inlineStr">
        <is>
          <t>Alison Edelman — Meningioma and hormonal contraceptives</t>
        </is>
      </c>
      <c r="C24" s="17" t="inlineStr">
        <is>
          <t>Not Eligible</t>
        </is>
      </c>
      <c r="D24" s="17" t="inlineStr">
        <is>
          <t>Currently planned outside Cochrane</t>
        </is>
      </c>
      <c r="E24" s="17" t="n"/>
      <c r="F24" s="17" t="n"/>
      <c r="G24" s="17" t="n"/>
      <c r="H24" s="17" t="n"/>
      <c r="I24" s="17" t="n"/>
    </row>
    <row r="25" ht="24" customHeight="1" s="29">
      <c r="A25" s="17" t="inlineStr">
        <is>
          <t>new-14</t>
        </is>
      </c>
      <c r="B25" s="17" t="inlineStr">
        <is>
          <t>Elena Kostova — Screening for genital chlamydia infection</t>
        </is>
      </c>
      <c r="C25" s="17" t="inlineStr">
        <is>
          <t>Not Eligible</t>
        </is>
      </c>
      <c r="D25" s="17" t="inlineStr">
        <is>
          <t>Cochrane review update, but not eligible because abstract screening had already started and more than half of the records had already been screened. The team also could not meet the required parallel workflow structure.</t>
        </is>
      </c>
      <c r="E25" s="17" t="n"/>
      <c r="F25" s="17" t="n"/>
      <c r="G25" s="17" t="n"/>
      <c r="H25" s="17" t="n"/>
      <c r="I25" s="17" t="n"/>
    </row>
    <row r="26" ht="24" customHeight="1" s="29">
      <c r="A26" s="17" t="inlineStr">
        <is>
          <t>new-15</t>
        </is>
      </c>
      <c r="B26" s="17" t="inlineStr">
        <is>
          <t>Patricia C. Heyn — Aerobic and Resistance Training Interventions for Cognitive Outcomes in Older Adults with Mild Cognitive Impairment and Alzheimer's Disease and Related Dementias: An Umbrella Review of Meta-Analyses of Randomized Trials</t>
        </is>
      </c>
      <c r="C26" s="17" t="inlineStr">
        <is>
          <t>Not Eligible</t>
        </is>
      </c>
      <c r="D26" s="17" t="inlineStr">
        <is>
          <t>Not eligible because it is not a Cochrane review update and most methods are already completed, with the team validating the database and starting analysis.</t>
        </is>
      </c>
      <c r="E26" s="17" t="n"/>
      <c r="F26" s="17" t="n"/>
      <c r="G26" s="17" t="n"/>
      <c r="H26" s="17" t="n"/>
      <c r="I26" s="17" t="n"/>
    </row>
    <row r="27" ht="24" customHeight="1" s="29">
      <c r="A27" s="17" t="inlineStr">
        <is>
          <t>new-16</t>
        </is>
      </c>
      <c r="B27" s="17" t="inlineStr">
        <is>
          <t>Zuhaer / Feng Sun — Gas gangrene Cochrane Review update</t>
        </is>
      </c>
      <c r="C27" s="17" t="inlineStr">
        <is>
          <t>Not Eligible</t>
        </is>
      </c>
      <c r="D27" s="17" t="inlineStr">
        <is>
          <t>Not eligible for the current phase because the team is considering expanding the scope to include observational studies, which would require a major methodological change and may not align with the current validation workflow/timeline.</t>
        </is>
      </c>
      <c r="E27" s="17" t="n"/>
      <c r="F27" s="17" t="n"/>
      <c r="G27" s="17" t="n"/>
      <c r="H27" s="17" t="n"/>
      <c r="I27" s="17" t="n"/>
    </row>
    <row r="28" ht="24" customHeight="1" s="29">
      <c r="A28" s="17" t="inlineStr">
        <is>
          <t>new-17</t>
        </is>
      </c>
      <c r="B28" s="17" t="inlineStr">
        <is>
          <t>Jeremy Steen / Bradley Johnston - Probiotics for the prevention of paediatric antibiotic-associated diarrhoea</t>
        </is>
      </c>
      <c r="C28" s="17" t="inlineStr">
        <is>
          <t>Converted to full sheet</t>
        </is>
      </c>
      <c r="D28" s="17" t="inlineStr">
        <is>
          <t>Converted to phase1-06; conventional screening complete, Nested Knowledge screening underway and full text deliberately paused</t>
        </is>
      </c>
      <c r="E28" s="17" t="inlineStr">
        <is>
          <t>Phase 1</t>
        </is>
      </c>
      <c r="F28" s="17" t="inlineStr">
        <is>
          <t>Jeremy Steen / Bradley Johnston</t>
        </is>
      </c>
      <c r="G28" s="17" t="inlineStr">
        <is>
          <t>Full text paused until Nested Knowledge abstract screening complete</t>
        </is>
      </c>
      <c r="H28" s="17" t="inlineStr">
        <is>
          <t>Converted to phase1-06 Probiotics; Nested Knowledge allocated</t>
        </is>
      </c>
      <c r="I28" s="17" t="inlineStr">
        <is>
          <t>Yes</t>
        </is>
      </c>
      <c r="J28" t="inlineStr">
        <is>
          <t>No</t>
        </is>
      </c>
    </row>
    <row r="29" ht="24" customHeight="1" s="29">
      <c r="A29" s="17" t="inlineStr">
        <is>
          <t>new-18</t>
        </is>
      </c>
      <c r="B29" s="17" t="inlineStr">
        <is>
          <t>Anna Rogers - Abdominal Irrigation at Caesarean Section</t>
        </is>
      </c>
      <c r="C29" s="17" t="inlineStr">
        <is>
          <t>Withdrawn</t>
        </is>
      </c>
      <c r="D29" s="17" t="inlineStr">
        <is>
          <t>Team has withdrawn from the platform study and will not be participating</t>
        </is>
      </c>
      <c r="E29" s="17" t="inlineStr">
        <is>
          <t>Phase 1</t>
        </is>
      </c>
      <c r="F29" s="17" t="inlineStr">
        <is>
          <t>Anna Rogers</t>
        </is>
      </c>
      <c r="G29" s="17" t="inlineStr">
        <is>
          <t>Not participating</t>
        </is>
      </c>
      <c r="H29" s="17" t="inlineStr">
        <is>
          <t>Withdrawn; no active follow-up</t>
        </is>
      </c>
      <c r="I29" s="17" t="inlineStr">
        <is>
          <t>No</t>
        </is>
      </c>
      <c r="J29" t="inlineStr">
        <is>
          <t>No</t>
        </is>
      </c>
    </row>
    <row r="30" ht="24" customHeight="1" s="29">
      <c r="A30" s="17" t="inlineStr">
        <is>
          <t>new-19</t>
        </is>
      </c>
      <c r="B30" s="17" t="inlineStr">
        <is>
          <t>Siew Cheng Foong - Oral galactagogues for increasing breast milk production in mothers of non-hospitalised term infants</t>
        </is>
      </c>
      <c r="C30" t="inlineStr">
        <is>
          <t>Withdrawn</t>
        </is>
      </c>
      <c r="D30" t="inlineStr">
        <is>
          <t>Withdrawn—conventional work completed; blinding not feasible</t>
        </is>
      </c>
      <c r="E30" s="17" t="inlineStr">
        <is>
          <t>Withdrawn</t>
        </is>
      </c>
      <c r="F30" s="17" t="inlineStr">
        <is>
          <t>Siew Cheng Foong</t>
        </is>
      </c>
      <c r="G30" t="inlineStr">
        <is>
          <t>No further action</t>
        </is>
      </c>
      <c r="H30" t="inlineStr">
        <is>
          <t>Not suitable because work was already completed and blinding was impossible</t>
        </is>
      </c>
      <c r="I30" s="17" t="inlineStr">
        <is>
          <t>No</t>
        </is>
      </c>
      <c r="J30" t="inlineStr">
        <is>
          <t>Yes</t>
        </is>
      </c>
    </row>
    <row r="31" ht="24" customHeight="1" s="29">
      <c r="A31" t="inlineStr">
        <is>
          <t>new-20</t>
        </is>
      </c>
      <c r="B31" t="inlineStr">
        <is>
          <t>Melissa Moraes — review update details pending</t>
        </is>
      </c>
      <c r="C31" t="inlineStr">
        <is>
          <t>Under Shortlisting</t>
        </is>
      </c>
      <c r="D31" t="inlineStr">
        <is>
          <t>Interested and gathering the review topic, scope, eligible designs, search/screening status, expected new studies and timeline for eligibility review</t>
        </is>
      </c>
      <c r="E31" t="inlineStr">
        <is>
          <t>TBD</t>
        </is>
      </c>
      <c r="F31" t="inlineStr">
        <is>
          <t>Melissa Moraes</t>
        </is>
      </c>
      <c r="G31" t="inlineStr">
        <is>
          <t>TBD — awaiting review details</t>
        </is>
      </c>
      <c r="H31" t="inlineStr">
        <is>
          <t>No separate eligibility form is required; review details are pending.</t>
        </is>
      </c>
      <c r="I31" t="inlineStr">
        <is>
          <t>No</t>
        </is>
      </c>
      <c r="J31" t="inlineStr">
        <is>
          <t>Yes</t>
        </is>
      </c>
    </row>
    <row r="32" ht="24" customHeight="1" s="29">
      <c r="A32" t="inlineStr">
        <is>
          <t>new-21</t>
        </is>
      </c>
      <c r="B32" t="inlineStr">
        <is>
          <t>Prof Iram Manzoor / Akhtar Saeed Medical and Dental College — review details pending</t>
        </is>
      </c>
      <c r="C32" t="inlineStr">
        <is>
          <t>Under Shortlisting</t>
        </is>
      </c>
      <c r="D32" t="inlineStr">
        <is>
          <t>Interest received; review title, status, timeline, parallel-workflow capacity and data-access details requested</t>
        </is>
      </c>
      <c r="E32" t="inlineStr">
        <is>
          <t>TBD</t>
        </is>
      </c>
      <c r="F32" t="inlineStr">
        <is>
          <t>Prof Iram Manzoor / Sohail Sabir</t>
        </is>
      </c>
      <c r="G32" t="inlineStr">
        <is>
          <t>TBD — awaiting review details</t>
        </is>
      </c>
      <c r="H32" t="inlineStr">
        <is>
          <t>Eligibility questions sent on 2026-07-31; no review-specific information received yet.</t>
        </is>
      </c>
      <c r="I32" t="inlineStr">
        <is>
          <t>No</t>
        </is>
      </c>
      <c r="J32" t="inlineStr">
        <is>
          <t>Yes</t>
        </is>
      </c>
    </row>
    <row r="33" ht="24" customHeight="1" s="29">
      <c r="A33" t="inlineStr">
        <is>
          <t>new-22</t>
        </is>
      </c>
      <c r="B33" t="inlineStr">
        <is>
          <t>Eva Madrid / Cochrane Evidence Synthesis Unit Iberoamérica</t>
        </is>
      </c>
      <c r="C33" t="inlineStr">
        <is>
          <t>Future Phase</t>
        </is>
      </c>
      <c r="D33" t="inlineStr">
        <is>
          <t>Interested, but no ongoing Cochrane review updates are currently available</t>
        </is>
      </c>
      <c r="E33" t="inlineStr">
        <is>
          <t>Future opportunity</t>
        </is>
      </c>
      <c r="F33" t="inlineStr">
        <is>
          <t>Eva Madrid</t>
        </is>
      </c>
      <c r="G33" t="inlineStr">
        <is>
          <t>No current update</t>
        </is>
      </c>
      <c r="H33" t="inlineStr">
        <is>
          <t>Keep in mind for future calls when an eligible Cochrane review update is available.</t>
        </is>
      </c>
      <c r="I33" t="inlineStr">
        <is>
          <t>No</t>
        </is>
      </c>
      <c r="J33" t="inlineStr">
        <is>
          <t>Yes</t>
        </is>
      </c>
    </row>
    <row r="34" ht="24" customHeight="1" s="29">
      <c r="A34" s="17" t="inlineStr">
        <is>
          <t>new-23</t>
        </is>
      </c>
      <c r="B34" s="17" t="inlineStr">
        <is>
          <t>Michelle Butler - Hospital nurse staffing review</t>
        </is>
      </c>
      <c r="C34" s="17" t="inlineStr">
        <is>
          <t>Under Shortlisting</t>
        </is>
      </c>
      <c r="D34" s="17" t="inlineStr">
        <is>
          <t>Interested; search expected to be completed and screening ready at the end of September</t>
        </is>
      </c>
      <c r="E34" s="17" t="inlineStr">
        <is>
          <t>Phase 1 / timeline assessment</t>
        </is>
      </c>
      <c r="F34" s="17" t="inlineStr">
        <is>
          <t>Michelle Butler</t>
        </is>
      </c>
      <c r="G34" s="17" t="inlineStr">
        <is>
          <t>End of September 2026</t>
        </is>
      </c>
      <c r="H34" s="17" t="inlineStr">
        <is>
          <t>Standard eligibility and workflow questions sent; awaiting detailed response</t>
        </is>
      </c>
      <c r="I34" s="17" t="inlineStr">
        <is>
          <t>No</t>
        </is>
      </c>
      <c r="J34" t="inlineStr">
        <is>
          <t>Yes</t>
        </is>
      </c>
    </row>
    <row r="35" ht="24" customHeight="1" s="29">
      <c r="A35" s="17" t="n"/>
      <c r="B35" s="17" t="n"/>
      <c r="C35" s="17" t="n"/>
      <c r="D35" s="17" t="n"/>
      <c r="E35" s="17" t="n"/>
      <c r="F35" s="17" t="n"/>
      <c r="G35" s="17" t="n"/>
      <c r="H35" s="17" t="n"/>
      <c r="I35" s="17" t="n"/>
    </row>
    <row r="36" ht="24" customHeight="1" s="29">
      <c r="A36" s="17" t="n"/>
      <c r="B36" s="17" t="n"/>
      <c r="C36" s="17" t="n"/>
      <c r="D36" s="17" t="n"/>
      <c r="E36" s="17" t="n"/>
      <c r="F36" s="17" t="n"/>
      <c r="G36" s="17" t="n"/>
      <c r="H36" s="17" t="n"/>
      <c r="I36" s="17" t="n"/>
    </row>
    <row r="37" ht="24" customHeight="1" s="29">
      <c r="A37" s="17" t="n"/>
      <c r="B37" s="17" t="n"/>
      <c r="C37" s="17" t="n"/>
      <c r="D37" s="17" t="n"/>
      <c r="E37" s="17" t="n"/>
      <c r="F37" s="17" t="n"/>
      <c r="G37" s="17" t="n"/>
      <c r="H37" s="17" t="n"/>
      <c r="I37" s="17" t="n"/>
    </row>
    <row r="38" ht="24" customHeight="1" s="29">
      <c r="A38" s="17" t="n"/>
      <c r="B38" s="17" t="n"/>
      <c r="C38" s="17" t="n"/>
      <c r="D38" s="17" t="n"/>
      <c r="E38" s="17" t="n"/>
      <c r="F38" s="17" t="n"/>
      <c r="G38" s="17" t="n"/>
      <c r="H38" s="17" t="n"/>
      <c r="I38" s="17" t="n"/>
    </row>
    <row r="39" ht="24" customHeight="1" s="29">
      <c r="A39" s="17" t="n"/>
      <c r="B39" s="17" t="n"/>
      <c r="C39" s="17" t="n"/>
      <c r="D39" s="17" t="n"/>
      <c r="E39" s="17" t="n"/>
      <c r="F39" s="17" t="n"/>
      <c r="G39" s="17" t="n"/>
      <c r="H39" s="17" t="n"/>
      <c r="I39" s="17" t="n"/>
    </row>
    <row r="40" ht="24" customHeight="1" s="29">
      <c r="A40" s="17" t="n"/>
      <c r="B40" s="17" t="n"/>
      <c r="C40" s="17" t="n"/>
      <c r="D40" s="17" t="n"/>
      <c r="E40" s="17" t="n"/>
      <c r="F40" s="17" t="n"/>
      <c r="G40" s="17" t="n"/>
      <c r="H40" s="17" t="n"/>
      <c r="I40" s="17" t="n"/>
    </row>
    <row r="41" ht="24" customHeight="1" s="29">
      <c r="A41" s="17" t="n"/>
      <c r="B41" s="17" t="n"/>
      <c r="C41" s="17" t="n"/>
      <c r="D41" s="17" t="n"/>
      <c r="E41" s="17" t="n"/>
      <c r="F41" s="17" t="n"/>
      <c r="G41" s="17" t="n"/>
      <c r="H41" s="17" t="n"/>
      <c r="I41" s="17" t="n"/>
    </row>
    <row r="42" ht="24" customHeight="1" s="29">
      <c r="A42" s="17" t="n"/>
      <c r="B42" s="17" t="n"/>
      <c r="C42" s="17" t="n"/>
      <c r="D42" s="17" t="n"/>
      <c r="E42" s="17" t="n"/>
      <c r="F42" s="17" t="n"/>
      <c r="G42" s="17" t="n"/>
      <c r="H42" s="17" t="n"/>
      <c r="I42" s="17" t="n"/>
    </row>
    <row r="43" ht="24" customHeight="1" s="29">
      <c r="A43" s="17" t="n"/>
      <c r="B43" s="17" t="n"/>
      <c r="C43" s="17" t="n"/>
      <c r="D43" s="17" t="n"/>
      <c r="E43" s="17" t="n"/>
      <c r="F43" s="17" t="n"/>
      <c r="G43" s="17" t="n"/>
      <c r="H43" s="17" t="n"/>
      <c r="I43" s="17" t="n"/>
    </row>
    <row r="44" ht="24" customHeight="1" s="29">
      <c r="A44" s="17" t="n"/>
      <c r="B44" s="17" t="n"/>
      <c r="C44" s="17" t="n"/>
      <c r="D44" s="17" t="n"/>
      <c r="E44" s="17" t="n"/>
      <c r="F44" s="17" t="n"/>
      <c r="G44" s="17" t="n"/>
      <c r="H44" s="17" t="n"/>
      <c r="I44" s="17" t="n"/>
    </row>
    <row r="45" ht="24" customHeight="1" s="29">
      <c r="A45" s="17" t="n"/>
      <c r="B45" s="17" t="n"/>
      <c r="C45" s="17" t="n"/>
      <c r="D45" s="17" t="n"/>
      <c r="E45" s="17" t="n"/>
      <c r="F45" s="17" t="n"/>
      <c r="G45" s="17" t="n"/>
      <c r="H45" s="17" t="n"/>
      <c r="I45" s="17" t="n"/>
    </row>
    <row r="46" ht="24" customHeight="1" s="29">
      <c r="A46" s="17" t="n"/>
      <c r="B46" s="17" t="n"/>
      <c r="C46" s="17" t="n"/>
      <c r="D46" s="17" t="n"/>
      <c r="E46" s="17" t="n"/>
      <c r="F46" s="17" t="n"/>
      <c r="G46" s="17" t="n"/>
      <c r="H46" s="17" t="n"/>
      <c r="I46" s="17" t="n"/>
    </row>
    <row r="47" ht="24" customHeight="1" s="29">
      <c r="A47" s="17" t="n"/>
      <c r="B47" s="17" t="n"/>
      <c r="C47" s="17" t="n"/>
      <c r="D47" s="17" t="n"/>
      <c r="E47" s="17" t="n"/>
      <c r="F47" s="17" t="n"/>
      <c r="G47" s="17" t="n"/>
      <c r="H47" s="17" t="n"/>
      <c r="I47" s="17" t="n"/>
    </row>
    <row r="48" ht="24" customHeight="1" s="29">
      <c r="A48" s="17" t="n"/>
      <c r="B48" s="17" t="n"/>
      <c r="C48" s="17" t="n"/>
      <c r="D48" s="17" t="n"/>
      <c r="E48" s="17" t="n"/>
      <c r="F48" s="17" t="n"/>
      <c r="G48" s="17" t="n"/>
      <c r="H48" s="17" t="n"/>
      <c r="I48" s="17" t="n"/>
    </row>
    <row r="49" ht="24" customHeight="1" s="29">
      <c r="A49" s="17" t="n"/>
      <c r="B49" s="17" t="n"/>
      <c r="C49" s="17" t="n"/>
      <c r="D49" s="17" t="n"/>
      <c r="E49" s="17" t="n"/>
      <c r="F49" s="17" t="n"/>
      <c r="G49" s="17" t="n"/>
      <c r="H49" s="17" t="n"/>
      <c r="I49" s="17" t="n"/>
    </row>
    <row r="50" ht="24" customHeight="1" s="29">
      <c r="A50" s="17" t="n"/>
      <c r="B50" s="17" t="n"/>
      <c r="C50" s="17" t="n"/>
      <c r="D50" s="17" t="n"/>
      <c r="E50" s="17" t="n"/>
      <c r="F50" s="17" t="n"/>
      <c r="G50" s="17" t="n"/>
      <c r="H50" s="17" t="n"/>
      <c r="I50" s="17" t="n"/>
    </row>
    <row r="51" ht="24" customHeight="1" s="29">
      <c r="A51" s="17" t="n"/>
      <c r="B51" s="17" t="n"/>
      <c r="C51" s="17" t="n"/>
      <c r="D51" s="17" t="n"/>
      <c r="E51" s="17" t="n"/>
      <c r="F51" s="17" t="n"/>
      <c r="G51" s="17" t="n"/>
      <c r="H51" s="17" t="n"/>
      <c r="I51" s="17" t="n"/>
    </row>
    <row r="54">
      <c r="A54" s="31" t="inlineStr">
        <is>
          <t>Suggested use of categories</t>
        </is>
      </c>
    </row>
    <row r="55" ht="28" customHeight="1" s="29">
      <c r="A55" s="14" t="inlineStr">
        <is>
          <t>Shortlisted</t>
        </is>
      </c>
      <c r="B55" s="18" t="inlineStr">
        <is>
          <t>Likely eligible and suitable for near-term onboarding. Use when only final confirmation or timing is pending.</t>
        </is>
      </c>
    </row>
    <row r="56" ht="28" customHeight="1" s="29">
      <c r="A56" s="14" t="inlineStr">
        <is>
          <t>Under Shortlisting</t>
        </is>
      </c>
      <c r="B56" s="18" t="inlineStr">
        <is>
          <t>Still being assessed. Use when eligibility, team capacity, timeline, or workflow fit needs clarification.</t>
        </is>
      </c>
    </row>
    <row r="57">
      <c r="A57" s="14" t="inlineStr">
        <is>
          <t>Future Phase</t>
        </is>
      </c>
      <c r="B57" s="18" t="inlineStr">
        <is>
          <t>Potentially useful but not for current onboarding wave. Keep for Phase 2 or later pipeline planning.</t>
        </is>
      </c>
    </row>
    <row r="58">
      <c r="A58" s="14" t="inlineStr">
        <is>
          <t>Not Eligible</t>
        </is>
      </c>
      <c r="B58" s="18" t="inlineStr">
        <is>
          <t>Not suitable for the current validation phase. Keep brief reason in Remarks.</t>
        </is>
      </c>
    </row>
  </sheetData>
  <mergeCells count="4">
    <mergeCell ref="A1:I1"/>
    <mergeCell ref="A4:D4"/>
    <mergeCell ref="A2:I2"/>
    <mergeCell ref="A54:I54"/>
  </mergeCell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66"/>
  <sheetViews>
    <sheetView zoomScale="85" zoomScaleNormal="85"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2" t="inlineStr">
        <is>
          <t>Workflow Master</t>
        </is>
      </c>
      <c r="B1" s="12" t="n"/>
      <c r="C1" s="12" t="n"/>
      <c r="D1" s="12" t="n"/>
      <c r="E1" s="12" t="n"/>
      <c r="F1" s="12" t="n"/>
      <c r="G1" s="12" t="n"/>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M9"/>
  <sheetViews>
    <sheetView showGridLines="0" workbookViewId="0">
      <pane ySplit="1" topLeftCell="A2" activePane="bottomLeft" state="frozen"/>
      <selection pane="bottomLeft" activeCell="A1" sqref="A1"/>
    </sheetView>
  </sheetViews>
  <sheetFormatPr baseColWidth="8" defaultRowHeight="14"/>
  <cols>
    <col width="14" customWidth="1" style="29" min="1" max="2"/>
    <col width="12" customWidth="1" style="29" min="3" max="4"/>
    <col width="34" customWidth="1" style="29" min="5" max="5"/>
    <col width="46" customWidth="1" style="29" min="6" max="6"/>
    <col width="34" customWidth="1" style="29" min="7" max="7"/>
    <col width="22" customWidth="1" style="29" min="8" max="8"/>
    <col width="20" customWidth="1" style="29" min="9" max="9"/>
    <col width="16" customWidth="1" style="29" min="10" max="10"/>
    <col width="18" customWidth="1" style="29" min="11" max="11"/>
    <col width="42" customWidth="1" style="29" min="12" max="12"/>
    <col width="12" customWidth="1" style="29" min="13" max="13"/>
  </cols>
  <sheetData>
    <row r="1">
      <c r="A1" s="24" t="inlineStr">
        <is>
          <t>MeetingID</t>
        </is>
      </c>
      <c r="B1" s="24" t="inlineStr">
        <is>
          <t>Date</t>
        </is>
      </c>
      <c r="C1" s="24" t="inlineStr">
        <is>
          <t>ETTime</t>
        </is>
      </c>
      <c r="D1" s="24" t="inlineStr">
        <is>
          <t>UKTime</t>
        </is>
      </c>
      <c r="E1" s="24" t="inlineStr">
        <is>
          <t>Title</t>
        </is>
      </c>
      <c r="F1" s="24" t="inlineStr">
        <is>
          <t>Purpose</t>
        </is>
      </c>
      <c r="G1" s="24" t="inlineStr">
        <is>
          <t>People</t>
        </is>
      </c>
      <c r="H1" s="24" t="inlineStr">
        <is>
          <t>Owner</t>
        </is>
      </c>
      <c r="I1" s="24" t="inlineStr">
        <is>
          <t>LinkedPhase</t>
        </is>
      </c>
      <c r="J1" s="24" t="inlineStr">
        <is>
          <t>Status</t>
        </is>
      </c>
      <c r="K1" s="24" t="inlineStr">
        <is>
          <t>LinkedReviewID</t>
        </is>
      </c>
      <c r="L1" s="24" t="inlineStr">
        <is>
          <t>MeetingLink</t>
        </is>
      </c>
      <c r="M1" s="24" t="inlineStr">
        <is>
          <t>Display</t>
        </is>
      </c>
    </row>
    <row r="2">
      <c r="A2" s="25" t="inlineStr">
        <is>
          <t>mtg-01</t>
        </is>
      </c>
      <c r="B2" s="25" t="inlineStr">
        <is>
          <t>2026-06-08</t>
        </is>
      </c>
      <c r="C2" s="25" t="inlineStr">
        <is>
          <t>2:00-3:00 AM EDT</t>
        </is>
      </c>
      <c r="D2" s="25" t="inlineStr">
        <is>
          <t>7:00-8:00 AM BST</t>
        </is>
      </c>
      <c r="E2" s="25" t="inlineStr">
        <is>
          <t>NK Training - Medication Adherence</t>
        </is>
      </c>
      <c r="F2" s="25" t="inlineStr">
        <is>
          <t>CDT calendar time: Jun 8, 1:00-2:00 AM. Nested Knowledge training for Medication Adherence.</t>
        </is>
      </c>
      <c r="G2" s="25" t="inlineStr">
        <is>
          <t>Amanda Cross / Rehan Sarwar / Krishna / Nested Knowledge</t>
        </is>
      </c>
      <c r="H2" s="25" t="inlineStr">
        <is>
          <t>Krishna</t>
        </is>
      </c>
      <c r="I2" s="25" t="inlineStr">
        <is>
          <t>Phase 1</t>
        </is>
      </c>
      <c r="J2" s="25" t="inlineStr">
        <is>
          <t>Scheduled</t>
        </is>
      </c>
      <c r="K2" s="25" t="inlineStr">
        <is>
          <t>phase1-04</t>
        </is>
      </c>
      <c r="L2" s="25" t="inlineStr"/>
      <c r="M2" s="25" t="inlineStr">
        <is>
          <t>No</t>
        </is>
      </c>
    </row>
    <row r="3">
      <c r="A3" s="25" t="inlineStr">
        <is>
          <t>mtg-02</t>
        </is>
      </c>
      <c r="B3" s="25" t="inlineStr">
        <is>
          <t>2026-06-08</t>
        </is>
      </c>
      <c r="C3" s="25" t="inlineStr">
        <is>
          <t>3:00-4:00 AM EDT</t>
        </is>
      </c>
      <c r="D3" s="25" t="inlineStr">
        <is>
          <t>8:00-9:00 AM BST</t>
        </is>
      </c>
      <c r="E3" s="25" t="inlineStr">
        <is>
          <t>Onboarding - Medication Adherence</t>
        </is>
      </c>
      <c r="F3" s="25" t="inlineStr">
        <is>
          <t>CDT calendar time: Jun 8, 2:00-3:00 AM. Onboarding and split-team workflow confirmation.</t>
        </is>
      </c>
      <c r="G3" s="25" t="inlineStr">
        <is>
          <t>Amanda Cross / Rehan Sarwar / Krishna</t>
        </is>
      </c>
      <c r="H3" s="25" t="inlineStr">
        <is>
          <t>Krishna</t>
        </is>
      </c>
      <c r="I3" s="25" t="inlineStr">
        <is>
          <t>Phase 1</t>
        </is>
      </c>
      <c r="J3" s="25" t="inlineStr">
        <is>
          <t>Scheduled</t>
        </is>
      </c>
      <c r="K3" s="25" t="inlineStr">
        <is>
          <t>phase1-04</t>
        </is>
      </c>
      <c r="L3" s="25" t="inlineStr"/>
      <c r="M3" s="25" t="inlineStr">
        <is>
          <t>No</t>
        </is>
      </c>
    </row>
    <row r="4">
      <c r="A4" s="25" t="inlineStr">
        <is>
          <t>mtg-03</t>
        </is>
      </c>
      <c r="B4" s="25" t="inlineStr">
        <is>
          <t>2026-06-12</t>
        </is>
      </c>
      <c r="C4" s="25" t="inlineStr">
        <is>
          <t>5:00-6:00 AM EDT</t>
        </is>
      </c>
      <c r="D4" s="25" t="inlineStr">
        <is>
          <t>10:00-11:00 AM BST</t>
        </is>
      </c>
      <c r="E4" s="25" t="inlineStr">
        <is>
          <t>Vitamin C Onboarding</t>
        </is>
      </c>
      <c r="F4" s="25" t="inlineStr">
        <is>
          <t>CDT calendar time: Jun 12, 4:00-5:00 AM. Review onboarding for Vitamin C.</t>
        </is>
      </c>
      <c r="G4" s="25" t="inlineStr">
        <is>
          <t>Jai Das / Krishna / Core Team</t>
        </is>
      </c>
      <c r="H4" s="25" t="inlineStr">
        <is>
          <t>Krishna</t>
        </is>
      </c>
      <c r="I4" s="25" t="inlineStr">
        <is>
          <t>Phase 1</t>
        </is>
      </c>
      <c r="J4" s="25" t="inlineStr">
        <is>
          <t>Scheduled</t>
        </is>
      </c>
      <c r="K4" s="25" t="inlineStr">
        <is>
          <t>phase1-05</t>
        </is>
      </c>
      <c r="L4" s="25" t="inlineStr"/>
      <c r="M4" s="25" t="inlineStr">
        <is>
          <t>No</t>
        </is>
      </c>
    </row>
    <row r="5">
      <c r="A5" s="25" t="inlineStr">
        <is>
          <t>mtg-05</t>
        </is>
      </c>
      <c r="B5" s="25" t="n"/>
      <c r="C5" s="25" t="n"/>
      <c r="D5" s="25" t="n"/>
      <c r="E5" s="25" t="inlineStr">
        <is>
          <t>Fruit &amp; Veg Re-onboarding</t>
        </is>
      </c>
      <c r="F5" s="25" t="inlineStr">
        <is>
          <t>Re-onboarding meeting for Fruit &amp; Veg; time TBD.</t>
        </is>
      </c>
      <c r="G5" s="25" t="inlineStr">
        <is>
          <t>Rebecca K. Hodder / Krishna / Core Team</t>
        </is>
      </c>
      <c r="H5" s="25" t="inlineStr">
        <is>
          <t>Krishna</t>
        </is>
      </c>
      <c r="I5" s="25" t="inlineStr">
        <is>
          <t>Phase 1</t>
        </is>
      </c>
      <c r="J5" s="25" t="inlineStr">
        <is>
          <t>No longer required</t>
        </is>
      </c>
      <c r="K5" s="25" t="inlineStr">
        <is>
          <t>phase1-03</t>
        </is>
      </c>
      <c r="L5" s="25" t="n"/>
      <c r="M5" s="25" t="inlineStr">
        <is>
          <t>No</t>
        </is>
      </c>
    </row>
    <row r="6">
      <c r="A6" s="25" t="inlineStr">
        <is>
          <t>mtg-06</t>
        </is>
      </c>
      <c r="B6" s="25" t="inlineStr">
        <is>
          <t>2026-07-14</t>
        </is>
      </c>
      <c r="C6" s="25" t="n"/>
      <c r="D6" s="25" t="n"/>
      <c r="E6" s="25" t="inlineStr">
        <is>
          <t>NK Training - Human Milk Fortifier</t>
        </is>
      </c>
      <c r="F6" s="25" t="inlineStr">
        <is>
          <t>Nested Knowledge training for Human Milk Fortifier; time TBD.</t>
        </is>
      </c>
      <c r="G6" s="25" t="inlineStr">
        <is>
          <t>Mohan Pammi / Krishna / Nested Knowledge</t>
        </is>
      </c>
      <c r="H6" s="25" t="inlineStr">
        <is>
          <t>Krishna</t>
        </is>
      </c>
      <c r="I6" s="25" t="inlineStr">
        <is>
          <t>Phase 1</t>
        </is>
      </c>
      <c r="J6" s="25" t="inlineStr">
        <is>
          <t>Completed</t>
        </is>
      </c>
      <c r="K6" s="25" t="inlineStr">
        <is>
          <t>phase1-07</t>
        </is>
      </c>
      <c r="L6" s="25" t="n"/>
      <c r="M6" s="25" t="inlineStr">
        <is>
          <t>No</t>
        </is>
      </c>
    </row>
    <row r="7">
      <c r="A7" s="25" t="inlineStr">
        <is>
          <t>mtg-07</t>
        </is>
      </c>
      <c r="B7" s="25" t="inlineStr">
        <is>
          <t>2026-06-03</t>
        </is>
      </c>
      <c r="C7" s="25" t="n"/>
      <c r="D7" s="25" t="n"/>
      <c r="E7" s="25" t="inlineStr">
        <is>
          <t>Human Milk Fortifier Onboarding</t>
        </is>
      </c>
      <c r="F7" s="25" t="inlineStr">
        <is>
          <t>Onboarding meeting for Human Milk Fortifier; time TBD.</t>
        </is>
      </c>
      <c r="G7" s="25" t="inlineStr">
        <is>
          <t>Mohan Pammi / Krishna / Core Team</t>
        </is>
      </c>
      <c r="H7" s="25" t="inlineStr">
        <is>
          <t>Krishna</t>
        </is>
      </c>
      <c r="I7" s="25" t="inlineStr">
        <is>
          <t>Phase 1</t>
        </is>
      </c>
      <c r="J7" s="25" t="inlineStr">
        <is>
          <t>Completed</t>
        </is>
      </c>
      <c r="K7" s="25" t="inlineStr">
        <is>
          <t>phase1-07</t>
        </is>
      </c>
      <c r="L7" s="25" t="n"/>
      <c r="M7" s="25" t="inlineStr">
        <is>
          <t>No</t>
        </is>
      </c>
    </row>
    <row r="8">
      <c r="A8" s="25" t="inlineStr">
        <is>
          <t>mtg-04</t>
        </is>
      </c>
      <c r="B8" s="25" t="inlineStr">
        <is>
          <t>2026-06-08</t>
        </is>
      </c>
      <c r="C8" s="25" t="inlineStr">
        <is>
          <t>10:00-11:00 AM EDT</t>
        </is>
      </c>
      <c r="D8" s="25" t="inlineStr">
        <is>
          <t>3:00-4:00 PM BST</t>
        </is>
      </c>
      <c r="E8" s="25" t="inlineStr">
        <is>
          <t>AI Pilot Core Project Team Catch-up</t>
        </is>
      </c>
      <c r="F8" s="25" t="inlineStr">
        <is>
          <t>CDT calendar time: 9:00-10:00 AM. Core project team catch-up.</t>
        </is>
      </c>
      <c r="G8" s="25" t="inlineStr">
        <is>
          <t>Core Project Team</t>
        </is>
      </c>
      <c r="H8" s="25" t="inlineStr">
        <is>
          <t>Krishna</t>
        </is>
      </c>
      <c r="I8" s="25" t="inlineStr">
        <is>
          <t>Project coordination</t>
        </is>
      </c>
      <c r="J8" s="25" t="inlineStr">
        <is>
          <t>Scheduled</t>
        </is>
      </c>
      <c r="K8" s="25" t="n"/>
      <c r="L8" s="25" t="n"/>
      <c r="M8" s="25" t="inlineStr">
        <is>
          <t>No</t>
        </is>
      </c>
    </row>
    <row r="9">
      <c r="A9" t="inlineStr">
        <is>
          <t>mtg-08</t>
        </is>
      </c>
      <c r="B9" t="inlineStr">
        <is>
          <t>2026-08-10</t>
        </is>
      </c>
      <c r="C9" t="inlineStr">
        <is>
          <t>3:00-4:00 AM EDT</t>
        </is>
      </c>
      <c r="D9" t="inlineStr">
        <is>
          <t>8:00-9:00 AM BST</t>
        </is>
      </c>
      <c r="E9" t="inlineStr">
        <is>
          <t>Oral galactagogues onboarding</t>
        </is>
      </c>
      <c r="F9" t="inlineStr">
        <is>
          <t>Initial onboarding and pilot workflow overview; tool training/setup to follow</t>
        </is>
      </c>
      <c r="G9" t="inlineStr">
        <is>
          <t>Siew Cheng Foong / full review team / 2 Cochrane elective students / project team</t>
        </is>
      </c>
      <c r="H9" t="inlineStr">
        <is>
          <t>Krishna</t>
        </is>
      </c>
      <c r="I9" t="inlineStr">
        <is>
          <t>Phase 1</t>
        </is>
      </c>
      <c r="J9" t="inlineStr">
        <is>
          <t>Completed; team subsequently withdrew</t>
        </is>
      </c>
      <c r="M9" t="inlineStr">
        <is>
          <t>No</t>
        </is>
      </c>
    </row>
  </sheetData>
  <dataValidations count="3">
    <dataValidation sqref="M2:M200" showDropDown="0" showInputMessage="0" showErrorMessage="0" allowBlank="1" type="list">
      <formula1>"Yes,No"</formula1>
    </dataValidation>
    <dataValidation sqref="J2:J200" showDropDown="0" showInputMessage="0" showErrorMessage="0" allowBlank="1" type="list">
      <formula1>"Scheduled,Pending,Complete,Cancelled"</formula1>
    </dataValidation>
    <dataValidation sqref="I2:I200" showDropDown="0" showInputMessage="0" showErrorMessage="0" allowBlank="1" type="list">
      <formula1>"Pilot,Phase 1,Interim Analysis,Phase 2,Report,Project coordination"</formula1>
    </dataValidation>
  </dataValidations>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phase1-06 Probiotics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phase1-06</t>
        </is>
      </c>
      <c r="C5" t="inlineStr">
        <is>
          <t>Yes</t>
        </is>
      </c>
    </row>
    <row r="6">
      <c r="A6" t="inlineStr">
        <is>
          <t>ShortName</t>
        </is>
      </c>
      <c r="B6" t="inlineStr">
        <is>
          <t>Probiotics AAD</t>
        </is>
      </c>
      <c r="C6" t="inlineStr">
        <is>
          <t>Yes</t>
        </is>
      </c>
    </row>
    <row r="7">
      <c r="A7" t="inlineStr">
        <is>
          <t>ReviewTitle</t>
        </is>
      </c>
      <c r="B7" t="inlineStr">
        <is>
          <t>Probiotics for the prevention of paediatric antibiotic-associated diarrhoea</t>
        </is>
      </c>
      <c r="C7" t="inlineStr">
        <is>
          <t>Yes</t>
        </is>
      </c>
    </row>
    <row r="8">
      <c r="A8" t="inlineStr">
        <is>
          <t>Phase</t>
        </is>
      </c>
      <c r="B8" t="inlineStr">
        <is>
          <t>Phase 1</t>
        </is>
      </c>
      <c r="C8" t="inlineStr">
        <is>
          <t>Yes</t>
        </is>
      </c>
    </row>
    <row r="9">
      <c r="A9" t="inlineStr">
        <is>
          <t>Status</t>
        </is>
      </c>
      <c r="B9" t="inlineStr">
        <is>
          <t>Conventional screening complete; NK screening underway</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Jeremy Steen / Bradley Johnston</t>
        </is>
      </c>
      <c r="C12" t="inlineStr">
        <is>
          <t>Yes</t>
        </is>
      </c>
    </row>
    <row r="13">
      <c r="A13" t="inlineStr">
        <is>
          <t>CurrentStage</t>
        </is>
      </c>
      <c r="B13" t="inlineStr">
        <is>
          <t>Calibration and conventional screening complete; NK screening continuing</t>
        </is>
      </c>
      <c r="C13" t="inlineStr">
        <is>
          <t>Yes</t>
        </is>
      </c>
    </row>
    <row r="14">
      <c r="A14" t="inlineStr">
        <is>
          <t>CurrentUpdate</t>
        </is>
      </c>
      <c r="B14" t="inlineStr">
        <is>
          <t>Calibration and conventional screening complete; NK screening continuing</t>
        </is>
      </c>
      <c r="C14" t="inlineStr">
        <is>
          <t>Yes</t>
        </is>
      </c>
    </row>
    <row r="15">
      <c r="A15" t="inlineStr">
        <is>
          <t>NextAction</t>
        </is>
      </c>
      <c r="B15" t="inlineStr">
        <is>
          <t>Complete NK screening/time capture, then begin full text</t>
        </is>
      </c>
      <c r="C15" t="inlineStr">
        <is>
          <t>Yes</t>
        </is>
      </c>
    </row>
    <row r="16">
      <c r="A16" t="inlineStr">
        <is>
          <t>TargetDate</t>
        </is>
      </c>
      <c r="B16" t="inlineStr">
        <is>
          <t>TBD</t>
        </is>
      </c>
      <c r="C16" t="inlineStr">
        <is>
          <t>Yes</t>
        </is>
      </c>
    </row>
    <row r="17">
      <c r="A17" t="inlineStr">
        <is>
          <t>Variance</t>
        </is>
      </c>
      <c r="B17" t="inlineStr">
        <is>
          <t>Conventional workflow ahead; full text awaits both workflows</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2026-08-20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Conventional complete; NK in progress</t>
        </is>
      </c>
      <c r="F26" t="inlineStr">
        <is>
          <t>Yes</t>
        </is>
      </c>
    </row>
    <row r="27">
      <c r="A27" t="inlineStr">
        <is>
          <t>fullText</t>
        </is>
      </c>
      <c r="B27" t="inlineStr">
        <is>
          <t>On hold until Nested Knowledge abstract screening is complete</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Received</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Received</t>
        </is>
      </c>
      <c r="G35" t="inlineStr">
        <is>
          <t>Yes</t>
        </is>
      </c>
    </row>
    <row r="36">
      <c r="A36" t="inlineStr">
        <is>
          <t>Extraction</t>
        </is>
      </c>
      <c r="B36" t="inlineStr">
        <is>
          <t>Yes</t>
        </is>
      </c>
      <c r="C36" t="inlineStr">
        <is>
          <t>Received</t>
        </is>
      </c>
      <c r="G36" t="inlineStr">
        <is>
          <t>Yes</t>
        </is>
      </c>
    </row>
    <row r="37">
      <c r="A37" t="inlineStr">
        <is>
          <t>Protocol</t>
        </is>
      </c>
      <c r="B37" t="inlineStr">
        <is>
          <t>Draft</t>
        </is>
      </c>
      <c r="C37" t="inlineStr">
        <is>
          <t>Awaiting final template revisions</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Active</t>
        </is>
      </c>
      <c r="H42" t="inlineStr">
        <is>
          <t>Yes</t>
        </is>
      </c>
    </row>
    <row r="43">
      <c r="A43" t="inlineStr">
        <is>
          <t>Abstract Screening</t>
        </is>
      </c>
      <c r="B43" t="inlineStr">
        <is>
          <t>100</t>
        </is>
      </c>
      <c r="D43" t="inlineStr">
        <is>
          <t>Conventional complete; NK in progress</t>
        </is>
      </c>
      <c r="H43" t="inlineStr">
        <is>
          <t>Yes</t>
        </is>
      </c>
    </row>
    <row r="44">
      <c r="A44" t="inlineStr">
        <is>
          <t>Full-text Screening</t>
        </is>
      </c>
      <c r="D44" t="inlineStr">
        <is>
          <t>Not Started—sequencing dependency</t>
        </is>
      </c>
      <c r="G44" t="inlineStr">
        <is>
          <t>Team confirmed that Covidence full-text screening will remain paused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Under Review</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Complete</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In Progress</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task-phase1-06-001</t>
        </is>
      </c>
      <c r="B115" t="inlineStr">
        <is>
          <t>Complete Nested Knowledge abstract screening</t>
        </is>
      </c>
      <c r="C115" t="inlineStr">
        <is>
          <t>Review Team / Nested Knowledge</t>
        </is>
      </c>
      <c r="D115" t="inlineStr">
        <is>
          <t>In Progress</t>
        </is>
      </c>
      <c r="E115" t="inlineStr">
        <is>
          <t>Medium</t>
        </is>
      </c>
      <c r="F115" t="inlineStr">
        <is>
          <t>TBD</t>
        </is>
      </c>
      <c r="G115" t="inlineStr">
        <is>
          <t>NK screening completion</t>
        </is>
      </c>
      <c r="H115" t="inlineStr">
        <is>
          <t>Continue NK abstract screening before full-text work resumes.</t>
        </is>
      </c>
      <c r="I115" t="inlineStr">
        <is>
          <t>Email</t>
        </is>
      </c>
      <c r="J115" t="inlineStr">
        <is>
          <t>2026-08-20</t>
        </is>
      </c>
      <c r="K115" t="inlineStr">
        <is>
          <t>Yes</t>
        </is>
      </c>
    </row>
    <row r="116">
      <c r="A116" t="inlineStr">
        <is>
          <t>task-phase1-06-002</t>
        </is>
      </c>
      <c r="B116" t="inlineStr">
        <is>
          <t>Keep Covidence full-text screening paused</t>
        </is>
      </c>
      <c r="C116" t="inlineStr">
        <is>
          <t>Jeremy Steen / Bradley Johnston</t>
        </is>
      </c>
      <c r="D116" t="inlineStr">
        <is>
          <t>Complete</t>
        </is>
      </c>
      <c r="E116" t="inlineStr">
        <is>
          <t>Low</t>
        </is>
      </c>
      <c r="F116" t="inlineStr">
        <is>
          <t>Confirmed</t>
        </is>
      </c>
      <c r="G116" t="inlineStr">
        <is>
          <t>Parallel workflow sequencing</t>
        </is>
      </c>
      <c r="H116" t="inlineStr">
        <is>
          <t>Conventional full-text screening will remain paused until NK abstract screening finishes.</t>
        </is>
      </c>
      <c r="I116" t="inlineStr">
        <is>
          <t>Email</t>
        </is>
      </c>
      <c r="J116" t="inlineStr">
        <is>
          <t>2026-08-20</t>
        </is>
      </c>
      <c r="K116" t="inlineStr">
        <is>
          <t>Yes</t>
        </is>
      </c>
    </row>
    <row r="117">
      <c r="A117" t="inlineStr">
        <is>
          <t>task-phase1-06-003</t>
        </is>
      </c>
      <c r="B117" t="inlineStr">
        <is>
          <t>Confirm NK screening completion and export</t>
        </is>
      </c>
      <c r="C117" t="inlineStr">
        <is>
          <t>Review Team / Response Team</t>
        </is>
      </c>
      <c r="D117" t="inlineStr">
        <is>
          <t>Not Started</t>
        </is>
      </c>
      <c r="E117" t="inlineStr">
        <is>
          <t>Medium</t>
        </is>
      </c>
      <c r="F117" t="inlineStr">
        <is>
          <t>After NK screening</t>
        </is>
      </c>
      <c r="G117" t="inlineStr">
        <is>
          <t>NK abstract screening</t>
        </is>
      </c>
      <c r="H117" t="inlineStr">
        <is>
          <t>Export output once NK screening is complete.</t>
        </is>
      </c>
      <c r="I117" t="inlineStr">
        <is>
          <t>Project tracking</t>
        </is>
      </c>
      <c r="J117" t="inlineStr">
        <is>
          <t>2026-08-20</t>
        </is>
      </c>
      <c r="K117" t="inlineStr">
        <is>
          <t>Yes</t>
        </is>
      </c>
    </row>
    <row r="118">
      <c r="A118" t="inlineStr">
        <is>
          <t>task-phase1-06-004</t>
        </is>
      </c>
      <c r="B118" t="inlineStr">
        <is>
          <t>Start full-text screening after both arms align</t>
        </is>
      </c>
      <c r="C118" t="inlineStr">
        <is>
          <t>Review Team / Response Team</t>
        </is>
      </c>
      <c r="D118" t="inlineStr">
        <is>
          <t>Not Started</t>
        </is>
      </c>
      <c r="E118" t="inlineStr">
        <is>
          <t>Medium</t>
        </is>
      </c>
      <c r="F118" t="inlineStr">
        <is>
          <t>After abstract-screening closeout</t>
        </is>
      </c>
      <c r="G118" t="inlineStr">
        <is>
          <t>NK and conventional abstract-screening completion</t>
        </is>
      </c>
      <c r="H118" t="inlineStr">
        <is>
          <t>Resume full-text workflow only after abstract-screening outputs are ready.</t>
        </is>
      </c>
      <c r="I118" t="inlineStr">
        <is>
          <t>Project tracking</t>
        </is>
      </c>
      <c r="J118" t="inlineStr">
        <is>
          <t>2026-08-20</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n"/>
    </row>
    <row r="122">
      <c r="A122" t="inlineStr">
        <is>
          <t>comm-phase1-06-001</t>
        </is>
      </c>
      <c r="B122" t="inlineStr">
        <is>
          <t>2026-08-20</t>
        </is>
      </c>
      <c r="C122" t="inlineStr">
        <is>
          <t>Probiotics full text paused</t>
        </is>
      </c>
      <c r="D122" t="inlineStr">
        <is>
          <t>Jeremy Steen / Bradley Johnston / Krishna</t>
        </is>
      </c>
      <c r="E122" t="inlineStr">
        <is>
          <t>Review Team</t>
        </is>
      </c>
      <c r="F122" t="inlineStr">
        <is>
          <t>After NK abstract screening</t>
        </is>
      </c>
      <c r="G122" t="inlineStr">
        <is>
          <t>In Progress</t>
        </is>
      </c>
      <c r="H122" t="inlineStr">
        <is>
          <t>Team confirmed Covidence full-text screening will remain paused until Nested Knowledge abstract screening is complete.</t>
        </is>
      </c>
      <c r="I122" t="inlineStr">
        <is>
          <t>task-phase1-06-001</t>
        </is>
      </c>
      <c r="J122" t="inlineStr">
        <is>
          <t>Complete Nested Knowledge abstract screening</t>
        </is>
      </c>
      <c r="K122" t="inlineStr">
        <is>
          <t>Email</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Full-text screening deliberately paused</t>
        </is>
      </c>
      <c r="B126" t="inlineStr">
        <is>
          <t>Medium</t>
        </is>
      </c>
      <c r="C126" t="inlineStr">
        <is>
          <t>Review Team</t>
        </is>
      </c>
      <c r="D126" t="inlineStr">
        <is>
          <t>After NK abstract screening</t>
        </is>
      </c>
      <c r="E126" t="inlineStr">
        <is>
          <t>Open</t>
        </is>
      </c>
      <c r="F126" t="inlineStr">
        <is>
          <t>Sequencing dependency is intentional and should be monitored.</t>
        </is>
      </c>
      <c r="G126" t="inlineStr">
        <is>
          <t>Yes</t>
        </is>
      </c>
    </row>
  </sheetData>
  <mergeCells count="1">
    <mergeCell ref="A1:J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phase1-07 Human Milk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phase1-07</t>
        </is>
      </c>
      <c r="C5" t="inlineStr">
        <is>
          <t>Yes</t>
        </is>
      </c>
    </row>
    <row r="6">
      <c r="A6" t="inlineStr">
        <is>
          <t>ShortName</t>
        </is>
      </c>
      <c r="B6" t="inlineStr">
        <is>
          <t>Human Milk Fortifier</t>
        </is>
      </c>
      <c r="C6" t="inlineStr">
        <is>
          <t>Yes</t>
        </is>
      </c>
    </row>
    <row r="7">
      <c r="A7" t="inlineStr">
        <is>
          <t>ReviewTitle</t>
        </is>
      </c>
      <c r="B7" t="inlineStr">
        <is>
          <t>Human milk-derived versus bovine milk-derived fortifier for prevention of mortality and morbidity in preterm neonates</t>
        </is>
      </c>
      <c r="C7" t="inlineStr">
        <is>
          <t>Yes</t>
        </is>
      </c>
    </row>
    <row r="8">
      <c r="A8" t="inlineStr">
        <is>
          <t>Phase</t>
        </is>
      </c>
      <c r="B8" t="inlineStr">
        <is>
          <t>Phase 1</t>
        </is>
      </c>
      <c r="C8" t="inlineStr">
        <is>
          <t>Yes</t>
        </is>
      </c>
    </row>
    <row r="9">
      <c r="A9" t="inlineStr">
        <is>
          <t>Status</t>
        </is>
      </c>
      <c r="B9" t="inlineStr">
        <is>
          <t>Nested Knowledge setup complete; criteria validation pending</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Mohan Pammi</t>
        </is>
      </c>
      <c r="C12" t="inlineStr">
        <is>
          <t>Yes</t>
        </is>
      </c>
    </row>
    <row r="13">
      <c r="A13" t="inlineStr">
        <is>
          <t>CurrentStage</t>
        </is>
      </c>
      <c r="B13" t="inlineStr">
        <is>
          <t>NK project created with 2,024 references; awaiting Murali's screening-criteria approval</t>
        </is>
      </c>
      <c r="C13" t="inlineStr">
        <is>
          <t>Yes</t>
        </is>
      </c>
    </row>
    <row r="14">
      <c r="A14" t="inlineStr">
        <is>
          <t>CurrentUpdate</t>
        </is>
      </c>
      <c r="B14" t="inlineStr">
        <is>
          <t>NK project created with 2,024 references; awaiting Murali's screening-criteria approval</t>
        </is>
      </c>
      <c r="C14" t="inlineStr">
        <is>
          <t>Yes</t>
        </is>
      </c>
    </row>
    <row r="15">
      <c r="A15" t="inlineStr">
        <is>
          <t>NextAction</t>
        </is>
      </c>
      <c r="B15" t="inlineStr">
        <is>
          <t>Confirm access and approve abstract/full-text criteria before screening</t>
        </is>
      </c>
      <c r="C15" t="inlineStr">
        <is>
          <t>Yes</t>
        </is>
      </c>
    </row>
    <row r="16">
      <c r="A16" t="inlineStr">
        <is>
          <t>TargetDate</t>
        </is>
      </c>
      <c r="B16" t="inlineStr">
        <is>
          <t>Awaiting review team approval</t>
        </is>
      </c>
      <c r="C16" t="inlineStr">
        <is>
          <t>Yes</t>
        </is>
      </c>
    </row>
    <row r="17">
      <c r="A17" t="inlineStr">
        <is>
          <t>Variance</t>
        </is>
      </c>
      <c r="B17" t="inlineStr">
        <is>
          <t>Setup complete; screening not yet started</t>
        </is>
      </c>
      <c r="C17" t="inlineStr">
        <is>
          <t>Yes</t>
        </is>
      </c>
    </row>
    <row r="18">
      <c r="A18" t="inlineStr">
        <is>
          <t>Assessment</t>
        </is>
      </c>
      <c r="B18" t="inlineStr">
        <is>
          <t>Waiting on Others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2026-08-20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Complete-validation pending</t>
        </is>
      </c>
      <c r="F25" t="inlineStr">
        <is>
          <t>Yes</t>
        </is>
      </c>
    </row>
    <row r="26">
      <c r="A26" t="inlineStr">
        <is>
          <t>abstract</t>
        </is>
      </c>
      <c r="B26" t="inlineStr">
        <is>
          <t>Awaiting criteria approval</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Deduplicated search results received August 3</t>
        </is>
      </c>
      <c r="G33" t="inlineStr">
        <is>
          <t>Yes</t>
        </is>
      </c>
    </row>
    <row r="34">
      <c r="A34" t="inlineStr">
        <is>
          <t>PDFs</t>
        </is>
      </c>
      <c r="B34" t="inlineStr">
        <is>
          <t>Pending</t>
        </is>
      </c>
      <c r="C34" t="inlineStr">
        <is>
          <t>Study materials collection underway</t>
        </is>
      </c>
      <c r="G34" t="inlineStr">
        <is>
          <t>Yes</t>
        </is>
      </c>
    </row>
    <row r="35">
      <c r="A35" t="inlineStr">
        <is>
          <t>Criteria</t>
        </is>
      </c>
      <c r="B35" t="inlineStr">
        <is>
          <t>Pending approval</t>
        </is>
      </c>
      <c r="C35" t="inlineStr">
        <is>
          <t>Abstract and full-text criteria configured; Murali review pending</t>
        </is>
      </c>
      <c r="G35" t="inlineStr">
        <is>
          <t>Yes</t>
        </is>
      </c>
    </row>
    <row r="36">
      <c r="A36" t="inlineStr">
        <is>
          <t>Extraction</t>
        </is>
      </c>
      <c r="B36" t="inlineStr">
        <is>
          <t>Yes</t>
        </is>
      </c>
      <c r="C36" t="inlineStr">
        <is>
          <t>Selected data items received/shared</t>
        </is>
      </c>
      <c r="G36" t="inlineStr">
        <is>
          <t>Yes</t>
        </is>
      </c>
    </row>
    <row r="37">
      <c r="A37" t="inlineStr">
        <is>
          <t>Protocol</t>
        </is>
      </c>
      <c r="B37" t="inlineStr">
        <is>
          <t>Yes</t>
        </is>
      </c>
      <c r="C37" t="inlineStr">
        <is>
          <t>Published review accepted in lieu of a separate protocol</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Setup complete-validation pending</t>
        </is>
      </c>
      <c r="G42" t="inlineStr">
        <is>
          <t>NK project contains 2,024 references; screening criteria awaiting approval</t>
        </is>
      </c>
      <c r="H42" t="inlineStr">
        <is>
          <t>Yes</t>
        </is>
      </c>
    </row>
    <row r="43">
      <c r="A43" t="inlineStr">
        <is>
          <t>Abstract Screening</t>
        </is>
      </c>
      <c r="D43" t="inlineStr">
        <is>
          <t>Not Started</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t="inlineStr">
        <is>
          <t>Complete</t>
        </is>
      </c>
      <c r="J54" s="18" t="n"/>
      <c r="K54" s="18" t="n"/>
      <c r="L54" t="inlineStr">
        <is>
          <t>Shared folder is in use; selected data items were uploaded.</t>
        </is>
      </c>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Under Review</t>
        </is>
      </c>
      <c r="J55" s="18" t="n"/>
      <c r="K55" s="18" t="n"/>
      <c r="L55" s="18" t="inlineStr">
        <is>
          <t>Murali invited using both email addresses; access confirmation pending</t>
        </is>
      </c>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t="inlineStr">
        <is>
          <t>Complete</t>
        </is>
      </c>
      <c r="J58" s="18" t="n"/>
      <c r="K58" s="18" t="n"/>
      <c r="L58" t="inlineStr">
        <is>
          <t>Deduplicated RIS received with 2,053 unique records.</t>
        </is>
      </c>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n"/>
      <c r="K59" s="18" t="n"/>
      <c r="L59" t="inlineStr">
        <is>
          <t>Eligibility criteria and protocol information received.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n"/>
      <c r="K60" s="18" t="n"/>
      <c r="L60" t="inlineStr">
        <is>
          <t>35 selected data items received.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Complete</t>
        </is>
      </c>
      <c r="J61" s="18" t="n"/>
      <c r="K61" s="18" t="n"/>
      <c r="L61" t="inlineStr">
        <is>
          <t>Questions on the extraction structure were addressed by the review team.</t>
        </is>
      </c>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Under Review</t>
        </is>
      </c>
      <c r="J62" s="18" t="n"/>
      <c r="K62" s="18" t="n"/>
      <c r="L62" t="inlineStr">
        <is>
          <t>Comments addressed; final confirmation remains.</t>
        </is>
      </c>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t="inlineStr">
        <is>
          <t>Complete</t>
        </is>
      </c>
      <c r="J63" s="18" t="n"/>
      <c r="K63" s="18" t="n"/>
      <c r="L63" t="inlineStr">
        <is>
          <t>Initial NK project setup completed with 2,024 references</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Pending</t>
        </is>
      </c>
      <c r="J64" s="18" t="n"/>
      <c r="K64" s="18" t="n"/>
      <c r="L64" s="18" t="inlineStr">
        <is>
          <t>Murali to approve abstract and full-text criteria</t>
        </is>
      </c>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task-phase1-07-001</t>
        </is>
      </c>
      <c r="B115" t="inlineStr">
        <is>
          <t>Confirm Murali's Nested Knowledge access</t>
        </is>
      </c>
      <c r="C115" t="inlineStr">
        <is>
          <t>Murali / Response Team</t>
        </is>
      </c>
      <c r="D115" t="inlineStr">
        <is>
          <t>Under Review</t>
        </is>
      </c>
      <c r="E115" t="inlineStr">
        <is>
          <t>High</t>
        </is>
      </c>
      <c r="F115" t="inlineStr">
        <is>
          <t>Awaiting review team approval</t>
        </is>
      </c>
      <c r="G115" t="inlineStr">
        <is>
          <t>NK invitation</t>
        </is>
      </c>
      <c r="H115" t="inlineStr">
        <is>
          <t>Murali invited using both email addresses; access confirmation pending.</t>
        </is>
      </c>
      <c r="I115" t="inlineStr">
        <is>
          <t>Email</t>
        </is>
      </c>
      <c r="J115" t="inlineStr">
        <is>
          <t>2026-08-20</t>
        </is>
      </c>
      <c r="K115" t="inlineStr">
        <is>
          <t>Yes</t>
        </is>
      </c>
    </row>
    <row r="116">
      <c r="A116" t="inlineStr">
        <is>
          <t>task-phase1-07-002</t>
        </is>
      </c>
      <c r="B116" t="inlineStr">
        <is>
          <t>Approve abstract and full-text criteria</t>
        </is>
      </c>
      <c r="C116" t="inlineStr">
        <is>
          <t>Murali / Review Team</t>
        </is>
      </c>
      <c r="D116" t="inlineStr">
        <is>
          <t>Pending</t>
        </is>
      </c>
      <c r="E116" t="inlineStr">
        <is>
          <t>High</t>
        </is>
      </c>
      <c r="F116" t="inlineStr">
        <is>
          <t>Awaiting review team approval</t>
        </is>
      </c>
      <c r="G116" t="inlineStr">
        <is>
          <t>NK project setup</t>
        </is>
      </c>
      <c r="H116" t="inlineStr">
        <is>
          <t>Screening criteria configured and awaiting Murali's approval.</t>
        </is>
      </c>
      <c r="I116" t="inlineStr">
        <is>
          <t>Project tracking</t>
        </is>
      </c>
      <c r="J116" t="inlineStr">
        <is>
          <t>2026-08-20</t>
        </is>
      </c>
      <c r="K116" t="inlineStr">
        <is>
          <t>Yes</t>
        </is>
      </c>
    </row>
    <row r="117">
      <c r="A117" t="inlineStr">
        <is>
          <t>task-phase1-07-003</t>
        </is>
      </c>
      <c r="B117" t="inlineStr">
        <is>
          <t>Begin Nested Knowledge screening after validation</t>
        </is>
      </c>
      <c r="C117" t="inlineStr">
        <is>
          <t>Review Team / Nested Knowledge</t>
        </is>
      </c>
      <c r="D117" t="inlineStr">
        <is>
          <t>Not Started</t>
        </is>
      </c>
      <c r="E117" t="inlineStr">
        <is>
          <t>Medium</t>
        </is>
      </c>
      <c r="F117" t="inlineStr">
        <is>
          <t>After criteria approval</t>
        </is>
      </c>
      <c r="G117" t="inlineStr">
        <is>
          <t>Access and criteria approval</t>
        </is>
      </c>
      <c r="H117" t="inlineStr">
        <is>
          <t>Start screening once access and criteria validation are confirmed.</t>
        </is>
      </c>
      <c r="I117" t="inlineStr">
        <is>
          <t>Project tracking</t>
        </is>
      </c>
      <c r="J117" t="inlineStr">
        <is>
          <t>2026-08-20</t>
        </is>
      </c>
      <c r="K117" t="inlineStr">
        <is>
          <t>Yes</t>
        </is>
      </c>
    </row>
    <row r="118">
      <c r="A118" t="inlineStr">
        <is>
          <t>task-phase1-07-004</t>
        </is>
      </c>
      <c r="B118" t="inlineStr">
        <is>
          <t>Confirm published review/protocol package</t>
        </is>
      </c>
      <c r="C118" t="inlineStr">
        <is>
          <t>Krishna / Review Team</t>
        </is>
      </c>
      <c r="D118" t="inlineStr">
        <is>
          <t>Complete</t>
        </is>
      </c>
      <c r="E118" t="inlineStr">
        <is>
          <t>Low</t>
        </is>
      </c>
      <c r="F118" t="inlineStr">
        <is>
          <t>Complete</t>
        </is>
      </c>
      <c r="G118" t="inlineStr">
        <is>
          <t>Protocol replacement</t>
        </is>
      </c>
      <c r="H118" t="inlineStr">
        <is>
          <t>Published review accepted in lieu of a separate protocol.</t>
        </is>
      </c>
      <c r="I118" t="inlineStr">
        <is>
          <t>Project tracking</t>
        </is>
      </c>
      <c r="J118" t="inlineStr">
        <is>
          <t>2026-08-20</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n"/>
    </row>
    <row r="122">
      <c r="A122" t="inlineStr">
        <is>
          <t>comm-phase1-07-001</t>
        </is>
      </c>
      <c r="B122" t="inlineStr">
        <is>
          <t>2026-08-20</t>
        </is>
      </c>
      <c r="C122" t="inlineStr">
        <is>
          <t>Human Milk NK setup complete</t>
        </is>
      </c>
      <c r="D122" t="inlineStr">
        <is>
          <t>Krishna / Murali / Response Team</t>
        </is>
      </c>
      <c r="E122" t="inlineStr">
        <is>
          <t>Murali / Review Team</t>
        </is>
      </c>
      <c r="F122" t="inlineStr">
        <is>
          <t>Awaiting review team approval</t>
        </is>
      </c>
      <c r="G122" t="inlineStr">
        <is>
          <t>Pending</t>
        </is>
      </c>
      <c r="H122" t="inlineStr">
        <is>
          <t>NK project contains 2,024 references; Murali's access and screening-criteria approval remain the next actions.</t>
        </is>
      </c>
      <c r="I122" t="inlineStr">
        <is>
          <t>task-phase1-07-002</t>
        </is>
      </c>
      <c r="J122" t="inlineStr">
        <is>
          <t>Approve abstract and full-text criteria</t>
        </is>
      </c>
      <c r="K122" t="inlineStr">
        <is>
          <t>Email</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Criteria approval pending</t>
        </is>
      </c>
      <c r="B126" t="inlineStr">
        <is>
          <t>High</t>
        </is>
      </c>
      <c r="C126" t="inlineStr">
        <is>
          <t>Murali / Review Team</t>
        </is>
      </c>
      <c r="D126" t="inlineStr">
        <is>
          <t>Awaiting review team approval</t>
        </is>
      </c>
      <c r="E126" t="inlineStr">
        <is>
          <t>Open</t>
        </is>
      </c>
      <c r="F126" t="inlineStr">
        <is>
          <t>Abstract and full-text screening should not start until criteria are approved.</t>
        </is>
      </c>
      <c r="G126" t="inlineStr">
        <is>
          <t>Yes</t>
        </is>
      </c>
    </row>
  </sheetData>
  <mergeCells count="1">
    <mergeCell ref="A1:J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M125"/>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phase1-08 LNS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phase1-08</t>
        </is>
      </c>
      <c r="C5" t="inlineStr">
        <is>
          <t>Yes</t>
        </is>
      </c>
    </row>
    <row r="6">
      <c r="A6" t="inlineStr">
        <is>
          <t>ShortName</t>
        </is>
      </c>
      <c r="B6" t="inlineStr">
        <is>
          <t>LNS</t>
        </is>
      </c>
      <c r="C6" t="inlineStr">
        <is>
          <t>Yes</t>
        </is>
      </c>
    </row>
    <row r="7">
      <c r="A7" t="inlineStr">
        <is>
          <t>ReviewTitle</t>
        </is>
      </c>
      <c r="B7" t="inlineStr">
        <is>
          <t>Preventive lipid-based nutrient supplements given with complementary foods to infants and young children 6 to 23 months of age for health, nutrition, and developmental outcomes</t>
        </is>
      </c>
      <c r="C7" t="inlineStr">
        <is>
          <t>Yes</t>
        </is>
      </c>
    </row>
    <row r="8">
      <c r="A8" t="inlineStr">
        <is>
          <t>Phase</t>
        </is>
      </c>
      <c r="B8" t="inlineStr">
        <is>
          <t>Phase 1</t>
        </is>
      </c>
      <c r="C8" t="inlineStr">
        <is>
          <t>Yes</t>
        </is>
      </c>
    </row>
    <row r="9">
      <c r="A9" t="inlineStr">
        <is>
          <t>Status</t>
        </is>
      </c>
      <c r="B9" t="inlineStr">
        <is>
          <t>Laser AI setup started; four searches outstanding</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Syeda Kanza Naqvi / Jai Das</t>
        </is>
      </c>
      <c r="C12" t="inlineStr">
        <is>
          <t>Yes</t>
        </is>
      </c>
    </row>
    <row r="13">
      <c r="A13" t="inlineStr">
        <is>
          <t>CurrentStage</t>
        </is>
      </c>
      <c r="B13" t="inlineStr">
        <is>
          <t>Initial setup started; selected data items finalized; completion awaits four database searches</t>
        </is>
      </c>
      <c r="C13" t="inlineStr">
        <is>
          <t>Yes</t>
        </is>
      </c>
    </row>
    <row r="14">
      <c r="A14" t="inlineStr">
        <is>
          <t>CurrentUpdate</t>
        </is>
      </c>
      <c r="B14" t="inlineStr">
        <is>
          <t>Initial setup started; selected data items finalized; completion awaits four database searches</t>
        </is>
      </c>
      <c r="C14" t="inlineStr">
        <is>
          <t>Yes</t>
        </is>
      </c>
    </row>
    <row r="15">
      <c r="A15" t="inlineStr">
        <is>
          <t>NextAction</t>
        </is>
      </c>
      <c r="B15" t="inlineStr">
        <is>
          <t>Obtain four remaining searches, complete upload and validate decision flow</t>
        </is>
      </c>
      <c r="C15" t="inlineStr">
        <is>
          <t>Yes</t>
        </is>
      </c>
    </row>
    <row r="16">
      <c r="A16" t="inlineStr">
        <is>
          <t>TargetDate</t>
        </is>
      </c>
      <c r="B16" t="inlineStr">
        <is>
          <t>Awaiting four searches</t>
        </is>
      </c>
      <c r="C16" t="inlineStr">
        <is>
          <t>Yes</t>
        </is>
      </c>
    </row>
    <row r="17">
      <c r="A17" t="inlineStr">
        <is>
          <t>Variance</t>
        </is>
      </c>
      <c r="B17" t="inlineStr">
        <is>
          <t>Setup partially complete; final search set unavailable</t>
        </is>
      </c>
      <c r="C17" t="inlineStr">
        <is>
          <t>Yes</t>
        </is>
      </c>
    </row>
    <row r="18">
      <c r="A18" t="inlineStr">
        <is>
          <t>Assessment</t>
        </is>
      </c>
      <c r="B18" t="inlineStr">
        <is>
          <t>Waiting on Others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2026-08-20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Pending</t>
        </is>
      </c>
      <c r="F24" t="inlineStr">
        <is>
          <t>Yes</t>
        </is>
      </c>
    </row>
    <row r="25">
      <c r="A25" t="inlineStr">
        <is>
          <t>setup</t>
        </is>
      </c>
      <c r="B25" t="inlineStr">
        <is>
          <t>In progress-four searches outstanding</t>
        </is>
      </c>
      <c r="F25" t="inlineStr">
        <is>
          <t>Yes</t>
        </is>
      </c>
    </row>
    <row r="26">
      <c r="A26" t="inlineStr">
        <is>
          <t>abstract</t>
        </is>
      </c>
      <c r="B26" t="inlineStr">
        <is>
          <t>Not Started</t>
        </is>
      </c>
      <c r="F26" t="inlineStr">
        <is>
          <t>Yes</t>
        </is>
      </c>
    </row>
    <row r="27">
      <c r="A27" t="inlineStr">
        <is>
          <t>fullText</t>
        </is>
      </c>
      <c r="B27" t="inlineStr">
        <is>
          <t>Not Started</t>
        </is>
      </c>
      <c r="F27" t="inlineStr">
        <is>
          <t>Yes</t>
        </is>
      </c>
    </row>
    <row r="28">
      <c r="A28" t="inlineStr">
        <is>
          <t>extraction</t>
        </is>
      </c>
      <c r="B28" t="inlineStr">
        <is>
          <t>Not Started</t>
        </is>
      </c>
      <c r="F28" t="inlineStr">
        <is>
          <t>Yes</t>
        </is>
      </c>
    </row>
    <row r="29">
      <c r="A29" t="inlineStr">
        <is>
          <t>analysis</t>
        </is>
      </c>
      <c r="B29" t="inlineStr">
        <is>
          <t>Not Started</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Partial</t>
        </is>
      </c>
      <c r="C33" t="inlineStr">
        <is>
          <t>Initial files received; four database searches outstanding</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Protocol/eligibility confirmation pending</t>
        </is>
      </c>
      <c r="G35" t="inlineStr">
        <is>
          <t>Yes</t>
        </is>
      </c>
    </row>
    <row r="36">
      <c r="A36" t="inlineStr">
        <is>
          <t>Extraction</t>
        </is>
      </c>
      <c r="B36" t="inlineStr">
        <is>
          <t>Yes</t>
        </is>
      </c>
      <c r="C36" t="inlineStr">
        <is>
          <t>Selected data items saved with minor clarifications</t>
        </is>
      </c>
      <c r="G36" t="inlineStr">
        <is>
          <t>Yes</t>
        </is>
      </c>
    </row>
    <row r="37">
      <c r="A37" t="inlineStr">
        <is>
          <t>Protocol</t>
        </is>
      </c>
      <c r="B37" t="inlineStr">
        <is>
          <t>No</t>
        </is>
      </c>
      <c r="C37" t="inlineStr">
        <is>
          <t>Protocol/criteria confirmation pending</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In progress-search set incomplete</t>
        </is>
      </c>
      <c r="G42" t="inlineStr">
        <is>
          <t>Laser AI setup started; cannot be completed until four remaining searches arrive</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inlineStr"/>
      <c r="K49" s="18" t="inlineStr"/>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inlineStr"/>
      <c r="K50" s="18" t="inlineStr"/>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inlineStr"/>
      <c r="K51" s="18" t="inlineStr"/>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Pending</t>
        </is>
      </c>
      <c r="J52" s="18" t="inlineStr"/>
      <c r="K52" s="18" t="inlineStr"/>
      <c r="L52" s="18" t="inlineStr">
        <is>
          <t>Tool allocation to be confirmed after onboarding.</t>
        </is>
      </c>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Pending</t>
        </is>
      </c>
      <c r="J53" s="18" t="inlineStr"/>
      <c r="K53" s="18" t="inlineStr"/>
      <c r="L53" s="18" t="inlineStr"/>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t="inlineStr">
        <is>
          <t>Pending</t>
        </is>
      </c>
      <c r="J54" s="18" t="inlineStr"/>
      <c r="K54" s="18" t="inlineStr"/>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Pending</t>
        </is>
      </c>
      <c r="J55" s="18" t="inlineStr"/>
      <c r="K55" s="18" t="inlineStr"/>
      <c r="L55" s="18" t="inlineStr"/>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Pending</t>
        </is>
      </c>
      <c r="J56" s="18" t="inlineStr"/>
      <c r="K56" s="18" t="inlineStr"/>
      <c r="L56" s="18" t="inlineStr"/>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Pending</t>
        </is>
      </c>
      <c r="J57" s="18" t="inlineStr"/>
      <c r="K57" s="18" t="inlineStr"/>
      <c r="L57" s="18" t="inlineStr"/>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t="inlineStr">
        <is>
          <t>Pending</t>
        </is>
      </c>
      <c r="J58" s="18" t="inlineStr"/>
      <c r="K58" s="18" t="inlineStr"/>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Pending</t>
        </is>
      </c>
      <c r="J59" s="18" t="inlineStr"/>
      <c r="K59" s="18" t="inlineStr"/>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inlineStr"/>
      <c r="K60" s="18" t="inlineStr"/>
      <c r="L60" t="inlineStr">
        <is>
          <t>Selected data items finalized and saved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Pending</t>
        </is>
      </c>
      <c r="J61" s="18" t="inlineStr"/>
      <c r="K61" s="18" t="inlineStr"/>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Pending</t>
        </is>
      </c>
      <c r="J62" s="18" t="inlineStr"/>
      <c r="K62" s="18" t="inlineStr"/>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t="inlineStr">
        <is>
          <t>In Progress</t>
        </is>
      </c>
      <c r="J63" s="18" t="inlineStr"/>
      <c r="K63" s="18" t="inlineStr"/>
      <c r="L63" t="inlineStr">
        <is>
          <t>Initial setup started; final upload awaits four searches</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inlineStr"/>
      <c r="K64" s="18" t="inlineStr"/>
      <c r="L64" s="18" t="inlineStr"/>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inlineStr"/>
      <c r="K65" s="18" t="inlineStr"/>
      <c r="L65" s="18" t="inlineStr"/>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inlineStr"/>
      <c r="K66" s="18" t="inlineStr"/>
      <c r="L66" s="18" t="inlineStr"/>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inlineStr"/>
      <c r="K67" s="18" t="inlineStr"/>
      <c r="L67" s="18" t="inlineStr"/>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inlineStr"/>
      <c r="K68" s="18" t="inlineStr"/>
      <c r="L68" s="18" t="inlineStr"/>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inlineStr"/>
      <c r="K69" s="18" t="inlineStr"/>
      <c r="L69" s="18" t="inlineStr"/>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inlineStr"/>
      <c r="K70" s="18" t="inlineStr"/>
      <c r="L70" s="18" t="inlineStr"/>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inlineStr"/>
      <c r="K71" s="18" t="inlineStr"/>
      <c r="L71" s="18" t="inlineStr"/>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inlineStr"/>
      <c r="K72" s="18" t="inlineStr"/>
      <c r="L72" s="18" t="inlineStr"/>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inlineStr"/>
      <c r="K73" s="18" t="inlineStr"/>
      <c r="L73" s="18" t="inlineStr"/>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inlineStr"/>
      <c r="K74" s="18" t="inlineStr"/>
      <c r="L74" s="18" t="inlineStr"/>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inlineStr"/>
      <c r="K75" s="18" t="inlineStr"/>
      <c r="L75" s="18" t="inlineStr"/>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inlineStr"/>
      <c r="K76" s="18" t="inlineStr"/>
      <c r="L76" s="18" t="inlineStr"/>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inlineStr"/>
      <c r="K77" s="18" t="inlineStr"/>
      <c r="L77" s="18" t="inlineStr"/>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inlineStr"/>
      <c r="K78" s="18" t="inlineStr"/>
      <c r="L78" s="18" t="inlineStr"/>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inlineStr"/>
      <c r="K79" s="18" t="inlineStr"/>
      <c r="L79" s="18" t="inlineStr"/>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inlineStr"/>
      <c r="K80" s="18" t="inlineStr"/>
      <c r="L80" s="18" t="inlineStr"/>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inlineStr"/>
      <c r="K81" s="18" t="inlineStr"/>
      <c r="L81" s="18" t="inlineStr"/>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inlineStr"/>
      <c r="K82" s="18" t="inlineStr"/>
      <c r="L82" s="18" t="inlineStr"/>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inlineStr"/>
      <c r="K83" s="18" t="inlineStr"/>
      <c r="L83" s="18" t="inlineStr"/>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inlineStr"/>
      <c r="K84" s="18" t="inlineStr"/>
      <c r="L84" s="18" t="inlineStr"/>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inlineStr"/>
      <c r="K85" s="18" t="inlineStr"/>
      <c r="L85" s="18" t="inlineStr"/>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inlineStr"/>
      <c r="K86" s="18" t="inlineStr"/>
      <c r="L86" s="18" t="inlineStr"/>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inlineStr"/>
      <c r="K87" s="18" t="inlineStr"/>
      <c r="L87" s="18" t="inlineStr"/>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inlineStr"/>
      <c r="K88" s="18" t="inlineStr"/>
      <c r="L88" s="18" t="inlineStr"/>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inlineStr"/>
      <c r="K89" s="18" t="inlineStr"/>
      <c r="L89" s="18" t="inlineStr"/>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inlineStr"/>
      <c r="K90" s="18" t="inlineStr"/>
      <c r="L90" s="18" t="inlineStr"/>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inlineStr"/>
      <c r="K91" s="18" t="inlineStr"/>
      <c r="L91" s="18" t="inlineStr"/>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inlineStr"/>
      <c r="K92" s="18" t="inlineStr"/>
      <c r="L92" s="18" t="inlineStr"/>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inlineStr"/>
      <c r="K93" s="18" t="inlineStr"/>
      <c r="L93" s="18" t="inlineStr"/>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inlineStr"/>
      <c r="K94" s="18" t="inlineStr"/>
      <c r="L94" s="18" t="inlineStr"/>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inlineStr"/>
      <c r="K95" s="18" t="inlineStr"/>
      <c r="L95" s="18" t="inlineStr"/>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inlineStr"/>
      <c r="K96" s="18" t="inlineStr"/>
      <c r="L96" s="18" t="inlineStr"/>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inlineStr"/>
      <c r="K97" s="18" t="inlineStr"/>
      <c r="L97" s="18" t="inlineStr"/>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inlineStr"/>
      <c r="K98" s="18" t="inlineStr"/>
      <c r="L98" s="18" t="inlineStr"/>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inlineStr"/>
      <c r="K99" s="18" t="inlineStr"/>
      <c r="L99" s="18" t="inlineStr"/>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inlineStr"/>
      <c r="K100" s="18" t="inlineStr"/>
      <c r="L100" s="18" t="inlineStr"/>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inlineStr"/>
      <c r="K101" s="18" t="inlineStr"/>
      <c r="L101" s="18" t="inlineStr"/>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inlineStr"/>
      <c r="K102" s="18" t="inlineStr"/>
      <c r="L102" s="18" t="inlineStr"/>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inlineStr"/>
      <c r="K103" s="18" t="inlineStr"/>
      <c r="L103" s="18" t="inlineStr"/>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inlineStr"/>
      <c r="K104" s="18" t="inlineStr"/>
      <c r="L104" s="18" t="inlineStr"/>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inlineStr"/>
      <c r="K105" s="18" t="inlineStr"/>
      <c r="L105" s="18" t="inlineStr"/>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inlineStr"/>
      <c r="K106" s="18" t="inlineStr"/>
      <c r="L106" s="18" t="inlineStr"/>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inlineStr"/>
      <c r="K107" s="18" t="inlineStr"/>
      <c r="L107" s="18" t="inlineStr"/>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inlineStr"/>
      <c r="K108" s="18" t="inlineStr"/>
      <c r="L108" s="18" t="inlineStr"/>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inlineStr"/>
      <c r="K109" s="18" t="inlineStr"/>
      <c r="L109" s="18" t="inlineStr"/>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inlineStr"/>
      <c r="K110" s="18" t="inlineStr"/>
      <c r="L110" s="18" t="inlineStr"/>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inlineStr"/>
      <c r="K111" s="18" t="inlineStr"/>
      <c r="L111" s="18" t="inlineStr"/>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task-phase1-08-001</t>
        </is>
      </c>
      <c r="B115" t="inlineStr">
        <is>
          <t>Obtain four outstanding database searches</t>
        </is>
      </c>
      <c r="C115" t="inlineStr">
        <is>
          <t>Syeda Kanza Naqvi / Jai Das</t>
        </is>
      </c>
      <c r="D115" t="inlineStr">
        <is>
          <t>Waiting on Others</t>
        </is>
      </c>
      <c r="E115" t="inlineStr">
        <is>
          <t>Medium</t>
        </is>
      </c>
      <c r="F115" t="inlineStr">
        <is>
          <t>Awaiting four searches</t>
        </is>
      </c>
      <c r="G115" t="inlineStr">
        <is>
          <t>Search completion</t>
        </is>
      </c>
      <c r="H115" t="inlineStr">
        <is>
          <t>Four remaining database searches are needed before final upload and validation can complete.</t>
        </is>
      </c>
      <c r="I115" t="inlineStr">
        <is>
          <t>Project tracking</t>
        </is>
      </c>
      <c r="J115" t="inlineStr">
        <is>
          <t>2026-08-20</t>
        </is>
      </c>
      <c r="K115"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comm-phase1-08-001</t>
        </is>
      </c>
      <c r="B122" t="inlineStr">
        <is>
          <t>2026-08-20</t>
        </is>
      </c>
      <c r="C122" t="inlineStr">
        <is>
          <t>LNS Laser AI setup started</t>
        </is>
      </c>
      <c r="D122" t="inlineStr">
        <is>
          <t>Syeda Kanza Naqvi / Jai Das / Krishna</t>
        </is>
      </c>
      <c r="E122" t="inlineStr">
        <is>
          <t>Review Team</t>
        </is>
      </c>
      <c r="F122" t="inlineStr">
        <is>
          <t>Awaiting four searches</t>
        </is>
      </c>
      <c r="G122" t="inlineStr">
        <is>
          <t>Waiting on Others</t>
        </is>
      </c>
      <c r="H122" t="inlineStr">
        <is>
          <t>Initial setup started and selected data items saved; final upload awaits four outstanding database searches.</t>
        </is>
      </c>
      <c r="I122" t="inlineStr">
        <is>
          <t>task-phase1-08-001</t>
        </is>
      </c>
      <c r="J122" t="inlineStr">
        <is>
          <t>Obtain four outstanding database searches</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c r="M124" t="inlineStr">
        <is>
          <t>No</t>
        </is>
      </c>
    </row>
    <row r="125">
      <c r="A125" s="1" t="inlineStr">
        <is>
          <t>CriticalItem</t>
        </is>
      </c>
      <c r="B125" s="1" t="inlineStr">
        <is>
          <t>Description</t>
        </is>
      </c>
      <c r="C125" s="1" t="inlineStr">
        <is>
          <t>Severity</t>
        </is>
      </c>
      <c r="D125" s="1" t="inlineStr">
        <is>
          <t>Owner</t>
        </is>
      </c>
      <c r="E125" s="1" t="inlineStr">
        <is>
          <t>DueDate</t>
        </is>
      </c>
      <c r="F125" s="1" t="inlineStr">
        <is>
          <t>Status</t>
        </is>
      </c>
      <c r="G125" s="1" t="inlineStr">
        <is>
          <t>Notes</t>
        </is>
      </c>
      <c r="H125" t="inlineStr">
        <is>
          <t>Impact</t>
        </is>
      </c>
      <c r="I125" t="inlineStr">
        <is>
          <t>Source</t>
        </is>
      </c>
      <c r="J125" t="inlineStr">
        <is>
          <t>SourceDate</t>
        </is>
      </c>
      <c r="K125" t="inlineStr">
        <is>
          <t>No</t>
        </is>
      </c>
      <c r="M125" t="inlineStr">
        <is>
          <t>No</t>
        </is>
      </c>
    </row>
  </sheetData>
  <mergeCells count="1">
    <mergeCell ref="A1:J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Krishna Kishore Pandalaneni</dc:creator>
  <dcterms:created xmlns:dcterms="http://purl.org/dc/terms/" xmlns:xsi="http://www.w3.org/2001/XMLSchema-instance" xsi:type="dcterms:W3CDTF">2026-05-27T01:47:03Z</dcterms:created>
  <dcterms:modified xmlns:dcterms="http://purl.org/dc/terms/" xmlns:xsi="http://www.w3.org/2001/XMLSchema-instance" xsi:type="dcterms:W3CDTF">2026-08-24T04:44:03Z</dcterms:modified>
  <cp:lastModifiedBy>Krishna Kishore Pandalaneni</cp:lastModifiedBy>
</cp:coreProperties>
</file>