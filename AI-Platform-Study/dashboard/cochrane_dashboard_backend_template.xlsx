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rish\Cochrane\cochrane-dashboard_V3\"/>
    </mc:Choice>
  </mc:AlternateContent>
  <xr:revisionPtr revIDLastSave="0" documentId="13_ncr:1_{E86E3A68-B5F1-4BEE-AD9F-3B80F6F7513C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README" sheetId="1" r:id="rId1"/>
    <sheet name="Dashboard_Config" sheetId="2" r:id="rId2"/>
    <sheet name="All_Reviews" sheetId="4" r:id="rId3"/>
    <sheet name="Lists" sheetId="3" r:id="rId4"/>
    <sheet name="Workflow_Master" sheetId="5" r:id="rId5"/>
    <sheet name="Review_Workflow_Status" sheetId="6" r:id="rId6"/>
    <sheet name="Review_Tasks" sheetId="7" r:id="rId7"/>
    <sheet name="Communication_Log" sheetId="8" r:id="rId8"/>
    <sheet name="File_Readiness" sheetId="9" r:id="rId9"/>
    <sheet name="Critical_Items" sheetId="10" r:id="rId10"/>
    <sheet name="Resources" sheetId="11" r:id="rId11"/>
    <sheet name="Upcoming_Meetings" sheetId="12" r:id="rId12"/>
    <sheet name="Stage_Progress" sheetId="13" r:id="rId13"/>
    <sheet name="Dashboard_Summary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14" l="1"/>
  <c r="B10" i="14"/>
  <c r="B9" i="14"/>
  <c r="B8" i="14"/>
  <c r="B7" i="14"/>
  <c r="B6" i="14"/>
  <c r="B5" i="14"/>
  <c r="B4" i="14"/>
</calcChain>
</file>

<file path=xl/sharedStrings.xml><?xml version="1.0" encoding="utf-8"?>
<sst xmlns="http://schemas.openxmlformats.org/spreadsheetml/2006/main" count="3393" uniqueCount="1160">
  <si>
    <t>Cochrane AI Platform Study - Excel Backend Template</t>
  </si>
  <si>
    <t>Purpose</t>
  </si>
  <si>
    <t>This workbook is the backend template for the static HTML dashboard. Update data here once, then export/generate data.js for GitHub deployment.</t>
  </si>
  <si>
    <t>Source-of-truth principle</t>
  </si>
  <si>
    <t>One row equals one fact. Avoid updating the same information in multiple places. Use ReviewID and WorkflowStepID to link records.</t>
  </si>
  <si>
    <t>Required control field</t>
  </si>
  <si>
    <t>Use DisplayInHTML = Yes to show a record in the dashboard. Use No to keep it in the backend but hide it from HTML.</t>
  </si>
  <si>
    <t>Key links</t>
  </si>
  <si>
    <t>ReviewID links all review-level data. WorkflowStepID links Review_Workflow_Status to Workflow_Master. LinkedTaskID links communications to tasks.</t>
  </si>
  <si>
    <t>Do not manually map dashboard sections</t>
  </si>
  <si>
    <t>The dashboard should infer placement from data type and sheet: reviews, workflow status, tasks, communications, files, risks, resources, meetings.</t>
  </si>
  <si>
    <t>GitHub deployment target</t>
  </si>
  <si>
    <t>Excel backend -&gt; data.js export -&gt; GitHub repository -&gt; GitHub Pages deployment.</t>
  </si>
  <si>
    <t>Dashboard Config</t>
  </si>
  <si>
    <t>ConfigKey</t>
  </si>
  <si>
    <t>ConfigValue</t>
  </si>
  <si>
    <t>Description</t>
  </si>
  <si>
    <t>LastUpdated</t>
  </si>
  <si>
    <t>InternalNotes</t>
  </si>
  <si>
    <t>ProjectName</t>
  </si>
  <si>
    <t>Cochrane AI Platform Study</t>
  </si>
  <si>
    <t>Main dashboard title</t>
  </si>
  <si>
    <t>DashboardSubtitle</t>
  </si>
  <si>
    <t>Executive and Operations Dashboard</t>
  </si>
  <si>
    <t>Header eyebrow/subtitle</t>
  </si>
  <si>
    <t>2026-05-14</t>
  </si>
  <si>
    <t>Displayed last updated date</t>
  </si>
  <si>
    <t>DefaultView</t>
  </si>
  <si>
    <t>executive</t>
  </si>
  <si>
    <t>Initial tab shown on page load</t>
  </si>
  <si>
    <t>Dropdown Lists - do not edit unless updating allowed values</t>
  </si>
  <si>
    <t>Status</t>
  </si>
  <si>
    <t>Risk</t>
  </si>
  <si>
    <t>Phase</t>
  </si>
  <si>
    <t>Tool</t>
  </si>
  <si>
    <t>YesNo</t>
  </si>
  <si>
    <t>ActionType</t>
  </si>
  <si>
    <t>SourceType</t>
  </si>
  <si>
    <t>FileType</t>
  </si>
  <si>
    <t>ResourceType</t>
  </si>
  <si>
    <t>Stage</t>
  </si>
  <si>
    <t>Severity</t>
  </si>
  <si>
    <t>Not Started</t>
  </si>
  <si>
    <t>Low</t>
  </si>
  <si>
    <t>Pilot</t>
  </si>
  <si>
    <t>Laser AI</t>
  </si>
  <si>
    <t>Yes</t>
  </si>
  <si>
    <t>Decision</t>
  </si>
  <si>
    <t>Email</t>
  </si>
  <si>
    <t>RIS</t>
  </si>
  <si>
    <t>Folder</t>
  </si>
  <si>
    <t>Review selection and onboarding</t>
  </si>
  <si>
    <t>Pending</t>
  </si>
  <si>
    <t>Medium</t>
  </si>
  <si>
    <t>Phase 1</t>
  </si>
  <si>
    <t>Nested Knowledge</t>
  </si>
  <si>
    <t>No</t>
  </si>
  <si>
    <t>ToDo</t>
  </si>
  <si>
    <t>Meeting</t>
  </si>
  <si>
    <t>PDFs</t>
  </si>
  <si>
    <t>Protocol</t>
  </si>
  <si>
    <t>Setup package and data item readiness</t>
  </si>
  <si>
    <t>Under Review</t>
  </si>
  <si>
    <t>High</t>
  </si>
  <si>
    <t>Phase 2</t>
  </si>
  <si>
    <t>Tool A</t>
  </si>
  <si>
    <t>MoMAction</t>
  </si>
  <si>
    <t>MoM</t>
  </si>
  <si>
    <t>Criteria</t>
  </si>
  <si>
    <t>Presentation</t>
  </si>
  <si>
    <t>Abstract screening</t>
  </si>
  <si>
    <t>In Progress</t>
  </si>
  <si>
    <t>TBD</t>
  </si>
  <si>
    <t>Governance</t>
  </si>
  <si>
    <t>Tool B</t>
  </si>
  <si>
    <t>FollowUp</t>
  </si>
  <si>
    <t>Call</t>
  </si>
  <si>
    <t>Extraction</t>
  </si>
  <si>
    <t>Survey</t>
  </si>
  <si>
    <t>Full-text readiness and screening</t>
  </si>
  <si>
    <t>Waiting on Others</t>
  </si>
  <si>
    <t>Allocated tool pending</t>
  </si>
  <si>
    <t>Escalation</t>
  </si>
  <si>
    <t>Document</t>
  </si>
  <si>
    <t>Template</t>
  </si>
  <si>
    <t>Data extraction</t>
  </si>
  <si>
    <t>Needs Action</t>
  </si>
  <si>
    <t>AI tool pending</t>
  </si>
  <si>
    <t>CrossPhase</t>
  </si>
  <si>
    <t>Dashboard</t>
  </si>
  <si>
    <t>Time Log</t>
  </si>
  <si>
    <t>Excel</t>
  </si>
  <si>
    <t>Analysis and downstream work</t>
  </si>
  <si>
    <t>Blocked</t>
  </si>
  <si>
    <t>Other</t>
  </si>
  <si>
    <t>PDF</t>
  </si>
  <si>
    <t>Complete</t>
  </si>
  <si>
    <t>MeetingNotes</t>
  </si>
  <si>
    <t>Complete / Under Review</t>
  </si>
  <si>
    <t>Link</t>
  </si>
  <si>
    <t>Ready</t>
  </si>
  <si>
    <t>Missing</t>
  </si>
  <si>
    <t>Scheduled</t>
  </si>
  <si>
    <t>Wrapping Up</t>
  </si>
  <si>
    <t>Starts 20 May</t>
  </si>
  <si>
    <t>All Reviews</t>
  </si>
  <si>
    <t>Use row 4 onward for data entry. Keep IDs stable for GitHub/data.js export.</t>
  </si>
  <si>
    <t>ReviewID</t>
  </si>
  <si>
    <t>ShortName</t>
  </si>
  <si>
    <t>ReviewTitle</t>
  </si>
  <si>
    <t>Lead</t>
  </si>
  <si>
    <t>CurrentStage</t>
  </si>
  <si>
    <t>CurrentUpdate</t>
  </si>
  <si>
    <t>NextAction</t>
  </si>
  <si>
    <t>TargetDate</t>
  </si>
  <si>
    <t>Variance</t>
  </si>
  <si>
    <t>Assessment</t>
  </si>
  <si>
    <t>DisplayInHTML</t>
  </si>
  <si>
    <t>DisplayOrder</t>
  </si>
  <si>
    <t>BP Targets</t>
  </si>
  <si>
    <t>Blood pressure targets for hypertension in people with diabetes mellitus</t>
  </si>
  <si>
    <t>Doreen Larvie</t>
  </si>
  <si>
    <t>Psoriasis</t>
  </si>
  <si>
    <t>Systemic pharmacological treatments for chronic plaque psoriasis</t>
  </si>
  <si>
    <t>Fruit &amp; Veg</t>
  </si>
  <si>
    <t>Interventions for increasing fruit and vegetable consumption in children aged five years and under</t>
  </si>
  <si>
    <t>Rebecca K. Hodder</t>
  </si>
  <si>
    <t>Training and setup planning</t>
  </si>
  <si>
    <t>Chlamydia</t>
  </si>
  <si>
    <t>Screening for genital chlamydia infection</t>
  </si>
  <si>
    <t>Elena Kostov</t>
  </si>
  <si>
    <t>Confirmation and onboarding readiness</t>
  </si>
  <si>
    <t>Confirm eligibility, participation, timeline, and allocated AI tool before setup.</t>
  </si>
  <si>
    <t>Review 5 TBD</t>
  </si>
  <si>
    <t>Core Team</t>
  </si>
  <si>
    <t>Additional review identification</t>
  </si>
  <si>
    <t>Caffeine</t>
  </si>
  <si>
    <t>Cessation of caffeine</t>
  </si>
  <si>
    <t>Matteo Bruschettini</t>
  </si>
  <si>
    <t>Pilot closeout / lessons learned</t>
  </si>
  <si>
    <t>DMARDs / RA</t>
  </si>
  <si>
    <t>DMARDs / Rheumatoid arthritis</t>
  </si>
  <si>
    <t>Jordi Pardo Pardo / Glen Hazlewood</t>
  </si>
  <si>
    <t>Pilot completion check</t>
  </si>
  <si>
    <t>Phase 2 Batch</t>
  </si>
  <si>
    <t>Future batch planning</t>
  </si>
  <si>
    <t>No update recorded.</t>
  </si>
  <si>
    <t>Keep placeholders until Phase 1 stabilizes.</t>
  </si>
  <si>
    <t>Workflow Master</t>
  </si>
  <si>
    <t>WorkflowStepID</t>
  </si>
  <si>
    <t>StepOrder</t>
  </si>
  <si>
    <t>WorkflowGroup</t>
  </si>
  <si>
    <t>FullActivity</t>
  </si>
  <si>
    <t>ResponsibleDefault</t>
  </si>
  <si>
    <t>DependsOn</t>
  </si>
  <si>
    <t>Blocks</t>
  </si>
  <si>
    <t>DefaultStatus</t>
  </si>
  <si>
    <t>w01</t>
  </si>
  <si>
    <t>Review selected</t>
  </si>
  <si>
    <t>Selection of review - core team</t>
  </si>
  <si>
    <t>w02</t>
  </si>
  <si>
    <t>w04</t>
  </si>
  <si>
    <t>Tool allocated</t>
  </si>
  <si>
    <t>Confirm allocated AI tool for review</t>
  </si>
  <si>
    <t>w03</t>
  </si>
  <si>
    <t>w05,w07,w15,w30,w45</t>
  </si>
  <si>
    <t>w09</t>
  </si>
  <si>
    <t>Time tracking</t>
  </si>
  <si>
    <t>Confirm Clockify or alternate time-tracking setup</t>
  </si>
  <si>
    <t>Krishna</t>
  </si>
  <si>
    <t>w05</t>
  </si>
  <si>
    <t>w17,w18,w32,w33,w47,w48</t>
  </si>
  <si>
    <t>w10</t>
  </si>
  <si>
    <t>RIS files</t>
  </si>
  <si>
    <t>Review team to share RIS files with setup team</t>
  </si>
  <si>
    <t>Review Team</t>
  </si>
  <si>
    <t>w06</t>
  </si>
  <si>
    <t>w15</t>
  </si>
  <si>
    <t>Tool setup</t>
  </si>
  <si>
    <t>Tool setup - allocated AI tool for abstract screening</t>
  </si>
  <si>
    <t>Response Team / Allocated Tool Team</t>
  </si>
  <si>
    <t>w04,w07,w10,w11</t>
  </si>
  <si>
    <t>w16</t>
  </si>
  <si>
    <t>w17</t>
  </si>
  <si>
    <t>Human screening</t>
  </si>
  <si>
    <t>Abstract screening - Human workflow</t>
  </si>
  <si>
    <t>w05,w08,w09,w16</t>
  </si>
  <si>
    <t>w21,w24,w25</t>
  </si>
  <si>
    <t>w26</t>
  </si>
  <si>
    <t>PDFs received</t>
  </si>
  <si>
    <t>Review team to share PDF files with setup team</t>
  </si>
  <si>
    <t>w25</t>
  </si>
  <si>
    <t>w27,w29</t>
  </si>
  <si>
    <t>w43</t>
  </si>
  <si>
    <t>DE items confirmed</t>
  </si>
  <si>
    <t>Confirm final data extraction items and definitions</t>
  </si>
  <si>
    <t>Review Team / Sean</t>
  </si>
  <si>
    <t>w12,w14,w40,w42</t>
  </si>
  <si>
    <t>w44</t>
  </si>
  <si>
    <t>w63</t>
  </si>
  <si>
    <t>Final analysis</t>
  </si>
  <si>
    <t>Analysis Team</t>
  </si>
  <si>
    <t>w57,w58,w59,w60,w61,w62</t>
  </si>
  <si>
    <t>Review Workflow Status</t>
  </si>
  <si>
    <t>OwnerOverride</t>
  </si>
  <si>
    <t>DueDate</t>
  </si>
  <si>
    <t>CommunicationNote</t>
  </si>
  <si>
    <t>Immediate</t>
  </si>
  <si>
    <t>Response Team / Laser AI</t>
  </si>
  <si>
    <t>Review Tasks</t>
  </si>
  <si>
    <t>TaskID</t>
  </si>
  <si>
    <t>Task</t>
  </si>
  <si>
    <t>Owner</t>
  </si>
  <si>
    <t>Dependency</t>
  </si>
  <si>
    <t>Communication</t>
  </si>
  <si>
    <t>Source</t>
  </si>
  <si>
    <t>SourceDate</t>
  </si>
  <si>
    <t>Reviewer time capture</t>
  </si>
  <si>
    <t>Review Team / Response Team</t>
  </si>
  <si>
    <t>Communication Log</t>
  </si>
  <si>
    <t>CommunicationID</t>
  </si>
  <si>
    <t>Date</t>
  </si>
  <si>
    <t>ConversationName</t>
  </si>
  <si>
    <t>FromPerson</t>
  </si>
  <si>
    <t>ResponsiblePerson</t>
  </si>
  <si>
    <t>Summary</t>
  </si>
  <si>
    <t>LinkedTaskID</t>
  </si>
  <si>
    <t>SourceLink</t>
  </si>
  <si>
    <t>Sean / Review Team</t>
  </si>
  <si>
    <t>File Readiness</t>
  </si>
  <si>
    <t>FileReady</t>
  </si>
  <si>
    <t>Notes</t>
  </si>
  <si>
    <t>Protocol available.</t>
  </si>
  <si>
    <t>Critical Items</t>
  </si>
  <si>
    <t>CriticalItemID</t>
  </si>
  <si>
    <t>ItemTitle</t>
  </si>
  <si>
    <t>ItemDescription</t>
  </si>
  <si>
    <t>LinkedReviewID</t>
  </si>
  <si>
    <t>LinkedPhase</t>
  </si>
  <si>
    <t>Impact</t>
  </si>
  <si>
    <t>Mitigation</t>
  </si>
  <si>
    <t>Core Team / Review Team</t>
  </si>
  <si>
    <t>Resources</t>
  </si>
  <si>
    <t>ResourceID</t>
  </si>
  <si>
    <t>ResourceName</t>
  </si>
  <si>
    <t>URL</t>
  </si>
  <si>
    <t>res-001</t>
  </si>
  <si>
    <t>All</t>
  </si>
  <si>
    <t>Active</t>
  </si>
  <si>
    <t>res-002</t>
  </si>
  <si>
    <t>res-003</t>
  </si>
  <si>
    <t>Upcoming Meetings</t>
  </si>
  <si>
    <t>MeetingID</t>
  </si>
  <si>
    <t>ETTime</t>
  </si>
  <si>
    <t>UKTime</t>
  </si>
  <si>
    <t>Title</t>
  </si>
  <si>
    <t>Agenda</t>
  </si>
  <si>
    <t>Attendees</t>
  </si>
  <si>
    <t>MeetingLink</t>
  </si>
  <si>
    <t>meet-001</t>
  </si>
  <si>
    <t>meet-002</t>
  </si>
  <si>
    <t>Stage Progress</t>
  </si>
  <si>
    <t>Template Summary / Quality Checks</t>
  </si>
  <si>
    <t>Metric</t>
  </si>
  <si>
    <t>Formula / Value</t>
  </si>
  <si>
    <t>Visible reviews</t>
  </si>
  <si>
    <t>Reviews included in HTML</t>
  </si>
  <si>
    <t>Phase 1 reviews</t>
  </si>
  <si>
    <t>Executive summary / Phase 1 count</t>
  </si>
  <si>
    <t>Management attention</t>
  </si>
  <si>
    <t>Reviews requiring attention</t>
  </si>
  <si>
    <t>Visible tasks</t>
  </si>
  <si>
    <t>Task records shown in dashboard</t>
  </si>
  <si>
    <t>Visible communications</t>
  </si>
  <si>
    <t>Communications shown in review detail</t>
  </si>
  <si>
    <t>Visible resources</t>
  </si>
  <si>
    <t>Resources shown in Resources tab</t>
  </si>
  <si>
    <t>Visible meetings</t>
  </si>
  <si>
    <t>Meetings shown in Upcoming Meetings</t>
  </si>
  <si>
    <t>Workflow steps</t>
  </si>
  <si>
    <t>Workflow steps included in operations/stage-gate</t>
  </si>
  <si>
    <t>Data extraction comparability issue appears resolved; final data items now uploaded by Sean.</t>
  </si>
  <si>
    <t>Laurence Le Cleach / Sivem Afach</t>
  </si>
  <si>
    <t>Full-text readiness / Nested Knowledge full-text issue follow-up</t>
  </si>
  <si>
    <t>Nested Knowledge completed action items for trial registries and multi-abstract PDFs in the Plaque Psoriasis project. Remaining unavailable or paywalled full texts have been commented on in Study Inspector.</t>
  </si>
  <si>
    <t>Confirm remaining full-text gaps with review team and proceed with full-text readiness once unresolved PDFs/access issues are handled.</t>
  </si>
  <si>
    <t>Full-text issue partially resolved by Nested Knowledge; remaining paywalled/unavailable records may still require review-team input.</t>
  </si>
  <si>
    <t>Search is expected around 20 May; training and tool setup should be timed closer to active start.</t>
  </si>
  <si>
    <t>Confirm allocated tool, review team access, and collect RIS/search results after the scheduled search.</t>
  </si>
  <si>
    <t>Waiting for search/RIS before setup can proceed.</t>
  </si>
  <si>
    <t>Candidate review remains under consideration. Setup should begin only after eligibility, participation, timeline, and tool allocation are confirmed.</t>
  </si>
  <si>
    <t>Candidate still requires confirmation before becoming active Phase 1 review.</t>
  </si>
  <si>
    <t>Additional eligible review still needs to be identified or confirmed for Phase 1.</t>
  </si>
  <si>
    <t>Identify and confirm one additional eligible Cochrane review for Phase 1.</t>
  </si>
  <si>
    <t>Human Milk Fortifier</t>
  </si>
  <si>
    <t>Human milk-derived fortifier versus bovine milk-derived fortifier for prevention of mortality and morbidity in preterm neonates</t>
  </si>
  <si>
    <t>Phase 1 Candidate</t>
  </si>
  <si>
    <t>Premkumar / Mohan Pammi</t>
  </si>
  <si>
    <t>Candidate review details received</t>
  </si>
  <si>
    <t>Cochrane Neonatal review update; RCTs eligible; search completed but results not yet appraised; team believes one or more studies may be included; planned update before Dec 2026.</t>
  </si>
  <si>
    <t>Confirm eligibility, consent from corresponding author, search appraisal status, and feasibility for Phase 1 timeline.</t>
  </si>
  <si>
    <t>Search completed but new studies not yet appraised; timeline may extend to Dec 2026.</t>
  </si>
  <si>
    <t>Corresponding author: Premkumar, premkuma@bcm.edu. Cochrane group: Cochrane Neonatal; contact Michelle Fiander, MFiander@VTOXFORD.org.</t>
  </si>
  <si>
    <t>Abdominal Irrigation</t>
  </si>
  <si>
    <t>Abdominal irrigation in Caesarean section</t>
  </si>
  <si>
    <t>Anna Joy Rogers</t>
  </si>
  <si>
    <t>Review is commissioned by WHO and related to a previous Cochrane Wounds review, but the current review may not be directly supported by a Cochrane group. Search completed and at least one study identified; extraction planned by June and paper by end Aug/early Sep.</t>
  </si>
  <si>
    <t>Postmenopausal Osteoporosis</t>
  </si>
  <si>
    <t>Effectiveness and safety of pharmacological interventions for the primary prevention of osteoporosis in postmenopausal women</t>
  </si>
  <si>
    <t>Not Eligible</t>
  </si>
  <si>
    <t>Not applicable</t>
  </si>
  <si>
    <t>Patricia Clark</t>
  </si>
  <si>
    <t>Non-Cochrane review declined</t>
  </si>
  <si>
    <t>Independent systematic review following Cochrane recommendations, but current project phase is limited to Cochrane review updates and Cochrane-related workflows.</t>
  </si>
  <si>
    <t>No action unless the team shares a Cochrane review update this year.</t>
  </si>
  <si>
    <t>Not eligible for current project because it is not a Cochrane review.</t>
  </si>
  <si>
    <t>Closed</t>
  </si>
  <si>
    <t>Reply already sent explaining non-Cochrane reviews are not eligible.</t>
  </si>
  <si>
    <t>Time-on-task values and survey receipt still need verification for pilot closeout.</t>
  </si>
  <si>
    <t>Verify Matteo time-on-task values, confirm usability survey receipt, and finalize pilot lessons learned.</t>
  </si>
  <si>
    <t>Full-text time not reported.</t>
  </si>
  <si>
    <t>Confirm latest Laser AI completion status and whether outputs are ready for Sean/adjudication package.</t>
  </si>
  <si>
    <t>Pilot output status still unclear.</t>
  </si>
  <si>
    <t>Phase 2 depends on Phase 1 stabilization and lessons learned.</t>
  </si>
  <si>
    <t>Planning placeholder.</t>
  </si>
  <si>
    <t>PM confirmation</t>
  </si>
  <si>
    <t>Selection of review - project manager confirmation</t>
  </si>
  <si>
    <t>Final confirmation</t>
  </si>
  <si>
    <t>Selection of review - final confirmation</t>
  </si>
  <si>
    <t>Team split</t>
  </si>
  <si>
    <t>Confirm review team split: Human workflow and AI-assisted workflow</t>
  </si>
  <si>
    <t>Krishna / Review Team</t>
  </si>
  <si>
    <t>w08,w09,w17,w32,w47</t>
  </si>
  <si>
    <t>Folder access</t>
  </si>
  <si>
    <t>Confirm SharePoint/folder access for review team</t>
  </si>
  <si>
    <t>w10,w11,w12</t>
  </si>
  <si>
    <t>w07</t>
  </si>
  <si>
    <t>Tool access</t>
  </si>
  <si>
    <t>Confirm AI tool access for allocated users</t>
  </si>
  <si>
    <t>w15,w30,w45</t>
  </si>
  <si>
    <t>w08</t>
  </si>
  <si>
    <t>Blinding shared</t>
  </si>
  <si>
    <t>Confirm blinding instructions shared with review teams</t>
  </si>
  <si>
    <t>Krishna / Sean</t>
  </si>
  <si>
    <t>w11</t>
  </si>
  <si>
    <t>Protocol &amp; criteria</t>
  </si>
  <si>
    <t>Review team to share protocol and inclusion/exclusion criteria</t>
  </si>
  <si>
    <t>w12,w15,w29</t>
  </si>
  <si>
    <t>w12</t>
  </si>
  <si>
    <t>Data items</t>
  </si>
  <si>
    <t>Finalise data items with Sean</t>
  </si>
  <si>
    <t>w13,w14,w43,w44</t>
  </si>
  <si>
    <t>w13</t>
  </si>
  <si>
    <t>Comparable DE</t>
  </si>
  <si>
    <t>Confirm data extraction structure is comparable between Human and AI workflows</t>
  </si>
  <si>
    <t>w14,w44</t>
  </si>
  <si>
    <t>w14</t>
  </si>
  <si>
    <t>Sean approval</t>
  </si>
  <si>
    <t>Confirm extraction form/template is approved by Sean</t>
  </si>
  <si>
    <t>Sean</t>
  </si>
  <si>
    <t>w43,w44,w45</t>
  </si>
  <si>
    <t>Setup validated</t>
  </si>
  <si>
    <t>Review team validates abstract screening setup before starting</t>
  </si>
  <si>
    <t>w17,w18</t>
  </si>
  <si>
    <t>w18</t>
  </si>
  <si>
    <t>AI screening</t>
  </si>
  <si>
    <t>Abstract screening - allocated AI tool</t>
  </si>
  <si>
    <t>Allocated Tool Team</t>
  </si>
  <si>
    <t>w07,w08,w09,w16</t>
  </si>
  <si>
    <t>w19,w21,w24,w25</t>
  </si>
  <si>
    <t>w19</t>
  </si>
  <si>
    <t>Export AI output</t>
  </si>
  <si>
    <t>Export abstract screening output from allocated AI tool</t>
  </si>
  <si>
    <t>w20</t>
  </si>
  <si>
    <t>Share output</t>
  </si>
  <si>
    <t>Share abstract screening output with Sean / data manager</t>
  </si>
  <si>
    <t>Krishna / Data Manager</t>
  </si>
  <si>
    <t>w24,w25</t>
  </si>
  <si>
    <t>w21</t>
  </si>
  <si>
    <t>Survey sent</t>
  </si>
  <si>
    <t>Share usability survey on abstract screening experience</t>
  </si>
  <si>
    <t>w22</t>
  </si>
  <si>
    <t>Survey submitted</t>
  </si>
  <si>
    <t>Submit usability survey on abstract screening experience</t>
  </si>
  <si>
    <t>w23</t>
  </si>
  <si>
    <t>Survey received</t>
  </si>
  <si>
    <t>Confirm usability survey responses received for abstract screening</t>
  </si>
  <si>
    <t>w24</t>
  </si>
  <si>
    <t>Quality check</t>
  </si>
  <si>
    <t>Data completeness and quality check before abstract screening adjudication</t>
  </si>
  <si>
    <t>Data Manager / Sean</t>
  </si>
  <si>
    <t>w20,w23</t>
  </si>
  <si>
    <t>Abstract adjudication</t>
  </si>
  <si>
    <t>Adjudication panel after abstract screening</t>
  </si>
  <si>
    <t>Sean and Adjudication Panel</t>
  </si>
  <si>
    <t>w26,w28,w30</t>
  </si>
  <si>
    <t>w27</t>
  </si>
  <si>
    <t>PDF issues logged</t>
  </si>
  <si>
    <t>Confirm unavailable PDFs or access issues are logged</t>
  </si>
  <si>
    <t>Review Team / Krishna</t>
  </si>
  <si>
    <t>w29</t>
  </si>
  <si>
    <t>w28</t>
  </si>
  <si>
    <t>Check-in meeting</t>
  </si>
  <si>
    <t>Meeting with Gerald, Amin, Susan, and optional review team members</t>
  </si>
  <si>
    <t>Criteria finalized</t>
  </si>
  <si>
    <t>Confirm full-text screening criteria are finalized</t>
  </si>
  <si>
    <t>w11,w26,w27,w28</t>
  </si>
  <si>
    <t>w30</t>
  </si>
  <si>
    <t>Tool setup - allocated AI tool for full-text screening</t>
  </si>
  <si>
    <t>w04,w07,w29</t>
  </si>
  <si>
    <t>w31</t>
  </si>
  <si>
    <t>Review team validates full-text screening setup before starting</t>
  </si>
  <si>
    <t>w32,w33</t>
  </si>
  <si>
    <t>w32</t>
  </si>
  <si>
    <t>Human full text</t>
  </si>
  <si>
    <t>Full-text screening - Human workflow</t>
  </si>
  <si>
    <t>w05,w08,w09,w31</t>
  </si>
  <si>
    <t>w36,w39,w40</t>
  </si>
  <si>
    <t>w33</t>
  </si>
  <si>
    <t>AI full text</t>
  </si>
  <si>
    <t>Full-text screening - allocated AI tool</t>
  </si>
  <si>
    <t>w07,w08,w09,w31</t>
  </si>
  <si>
    <t>w34,w36,w39,w40</t>
  </si>
  <si>
    <t>w34</t>
  </si>
  <si>
    <t>Export full-text screening output from allocated AI tool</t>
  </si>
  <si>
    <t>w35</t>
  </si>
  <si>
    <t>Share full-text screening output with Sean / data manager</t>
  </si>
  <si>
    <t>w39,w40</t>
  </si>
  <si>
    <t>w36</t>
  </si>
  <si>
    <t>Share usability survey on full-text screening workflow</t>
  </si>
  <si>
    <t>w37</t>
  </si>
  <si>
    <t>Submit usability survey on full-text screening workflow</t>
  </si>
  <si>
    <t>w38</t>
  </si>
  <si>
    <t>Confirm usability survey responses received for full-text screening</t>
  </si>
  <si>
    <t>w39</t>
  </si>
  <si>
    <t>Data completeness and quality check before full-text adjudication</t>
  </si>
  <si>
    <t>w35,w38</t>
  </si>
  <si>
    <t>w40</t>
  </si>
  <si>
    <t>Full-text adjudication</t>
  </si>
  <si>
    <t>Adjudication panel after full-text screening</t>
  </si>
  <si>
    <t>w42,w43,w45</t>
  </si>
  <si>
    <t>w41</t>
  </si>
  <si>
    <t>Platform ready</t>
  </si>
  <si>
    <t>Finalisation of Laser AI platform/server setup, if applicable</t>
  </si>
  <si>
    <t>Core Team / Laser AI</t>
  </si>
  <si>
    <t>w04,w07</t>
  </si>
  <si>
    <t>w45</t>
  </si>
  <si>
    <t>w42</t>
  </si>
  <si>
    <t>DE check-in</t>
  </si>
  <si>
    <t>Meeting with Gerald and optional review team members before data extraction</t>
  </si>
  <si>
    <t>Form approved</t>
  </si>
  <si>
    <t>w13,w14,w43</t>
  </si>
  <si>
    <t>Tool setup - allocated AI tool for data extraction</t>
  </si>
  <si>
    <t>w41,w44</t>
  </si>
  <si>
    <t>w46</t>
  </si>
  <si>
    <t>Review team validates data extraction setup before starting</t>
  </si>
  <si>
    <t>w47,w48</t>
  </si>
  <si>
    <t>w47</t>
  </si>
  <si>
    <t>Human extraction</t>
  </si>
  <si>
    <t>Data extraction - Human workflow</t>
  </si>
  <si>
    <t>w05,w08,w09,w46</t>
  </si>
  <si>
    <t>w51,w54,w55</t>
  </si>
  <si>
    <t>w48</t>
  </si>
  <si>
    <t>AI extraction</t>
  </si>
  <si>
    <t>Data extraction - allocated AI tool</t>
  </si>
  <si>
    <t>w07,w08,w09,w46</t>
  </si>
  <si>
    <t>w49,w51,w54,w55</t>
  </si>
  <si>
    <t>w49</t>
  </si>
  <si>
    <t>Export data extraction output from allocated AI tool</t>
  </si>
  <si>
    <t>w50</t>
  </si>
  <si>
    <t>Share data extraction output with Sean / data manager</t>
  </si>
  <si>
    <t>w54,w55</t>
  </si>
  <si>
    <t>w51</t>
  </si>
  <si>
    <t>Share usability survey on data extraction workflow</t>
  </si>
  <si>
    <t>w52</t>
  </si>
  <si>
    <t>Submit usability survey on data extraction workflow</t>
  </si>
  <si>
    <t>w53</t>
  </si>
  <si>
    <t>Confirm usability survey responses received for data extraction</t>
  </si>
  <si>
    <t>w54</t>
  </si>
  <si>
    <t>Data completeness and quality check before data extraction adjudication</t>
  </si>
  <si>
    <t>w50,w53</t>
  </si>
  <si>
    <t>w55</t>
  </si>
  <si>
    <t>Adjudication dataset</t>
  </si>
  <si>
    <t>Prepare adjudication-ready dataset</t>
  </si>
  <si>
    <t>w56,w57,w58,w61,w62,w63</t>
  </si>
  <si>
    <t>w56</t>
  </si>
  <si>
    <t>DE adjudication</t>
  </si>
  <si>
    <t>Adjudication panel after data extraction</t>
  </si>
  <si>
    <t>w57,w60,w61,w62,w63</t>
  </si>
  <si>
    <t>w57</t>
  </si>
  <si>
    <t>Gerald closeout</t>
  </si>
  <si>
    <t>Meeting with Gerald before analysis closeout</t>
  </si>
  <si>
    <t>w59,w63</t>
  </si>
  <si>
    <t>w58</t>
  </si>
  <si>
    <t>Stability study</t>
  </si>
  <si>
    <t>Fully automated and stability study - Pawel and Noosheen</t>
  </si>
  <si>
    <t>Pawel / Noosheen</t>
  </si>
  <si>
    <t>w59</t>
  </si>
  <si>
    <t>Follow-up</t>
  </si>
  <si>
    <t>Follow-up and review</t>
  </si>
  <si>
    <t>w60</t>
  </si>
  <si>
    <t>Adjudication work</t>
  </si>
  <si>
    <t>Adjudication panel parallel work</t>
  </si>
  <si>
    <t>Adjudication Panel</t>
  </si>
  <si>
    <t>w25,w40,w56</t>
  </si>
  <si>
    <t>w61</t>
  </si>
  <si>
    <t>Afroditi analysis</t>
  </si>
  <si>
    <t>Afroditi</t>
  </si>
  <si>
    <t>w55,w56</t>
  </si>
  <si>
    <t>w62</t>
  </si>
  <si>
    <t>Downstream errors</t>
  </si>
  <si>
    <t>Downstream impact of errors research - Max and Joanna</t>
  </si>
  <si>
    <t>Max / Joanna</t>
  </si>
  <si>
    <t>pilot-01</t>
  </si>
  <si>
    <t>Previously tracked as caffeine. Keep as pilot-01 going forward.</t>
  </si>
  <si>
    <t>pilot-02</t>
  </si>
  <si>
    <t>No fresh completion update found in the latest email batch.</t>
  </si>
  <si>
    <t>Previously tracked as dmards. Keep as pilot-02 going forward.</t>
  </si>
  <si>
    <t>phase1-01</t>
  </si>
  <si>
    <t>Previously tracked as bp-targets or bp-adults. Use phase1-01 as stable ReviewID.</t>
  </si>
  <si>
    <t>phase1-02</t>
  </si>
  <si>
    <t>Previously tracked as psoriasis. Use phase1-02 as stable ReviewID.</t>
  </si>
  <si>
    <t>phase1-03</t>
  </si>
  <si>
    <t>Previously tracked as fruit-veg or bp-diabetes in earlier file due to naming issue. Use phase1-03 going forward.</t>
  </si>
  <si>
    <t>phase1-04</t>
  </si>
  <si>
    <t>Previously tracked as phase1-review-4. Use phase1-04 as stable slot.</t>
  </si>
  <si>
    <t>phase1-05</t>
  </si>
  <si>
    <t>Open Phase 1 slot remains pending.</t>
  </si>
  <si>
    <t>Previously tracked as phase1-review-5. If a candidate is selected, update this row rather than creating a new Phase 1 slot.</t>
  </si>
  <si>
    <t>candidate-01</t>
  </si>
  <si>
    <t>candidate-02</t>
  </si>
  <si>
    <t>Clarify eligibility with Ella/Gerald because the review is WHO-commissioned and not clearly supported by a Cochrane group.</t>
  </si>
  <si>
    <t>Potential eligibility concern: current review is not clearly a Cochrane review/update despite link to a previous Cochrane Wounds review.</t>
  </si>
  <si>
    <t>Corresponding author: Anna Joy Rogers, aroger50@uthsc.edu. Keep under review for now.</t>
  </si>
  <si>
    <t>candidate-03</t>
  </si>
  <si>
    <t>phase2-01</t>
  </si>
  <si>
    <t>Review selected.</t>
  </si>
  <si>
    <t>BP Targets.</t>
  </si>
  <si>
    <t>PM confirmation complete.</t>
  </si>
  <si>
    <t>Final confirmation complete.</t>
  </si>
  <si>
    <t>Laser AI allocated.</t>
  </si>
  <si>
    <t>Confirm review team split for human and AI-assisted workflows.</t>
  </si>
  <si>
    <t>Confirm folder access and shared materials access.</t>
  </si>
  <si>
    <t>Laser AI access/setup in progress.</t>
  </si>
  <si>
    <t>Confirm blinding instructions shared and understood.</t>
  </si>
  <si>
    <t>Confirm Clockify or alternate time-tracking setup.</t>
  </si>
  <si>
    <t>RIS materials appear available; confirm completeness.</t>
  </si>
  <si>
    <t>Protocol and inclusion/exclusion materials appear available; confirm completeness.</t>
  </si>
  <si>
    <t>Final data items file uploaded by Sean on 14 May.</t>
  </si>
  <si>
    <t>Update from Sean/Doreen thread.</t>
  </si>
  <si>
    <t>Data extraction comparability issue appears resolved after Sean's minor change and Doreen confirmation.</t>
  </si>
  <si>
    <t>Extraction form/template approved for current setup based on final data items file.</t>
  </si>
  <si>
    <t>Proceed with Laser AI abstract screening setup using final data items and materials.</t>
  </si>
  <si>
    <t>Review team to validate abstract screening setup before starting.</t>
  </si>
  <si>
    <t>Psoriasis.</t>
  </si>
  <si>
    <t>Nested Knowledge allocated.</t>
  </si>
  <si>
    <t>Review team split confirmed.</t>
  </si>
  <si>
    <t>Folder access confirmed.</t>
  </si>
  <si>
    <t>Response Team / Nested Knowledge</t>
  </si>
  <si>
    <t>Nested Knowledge access available.</t>
  </si>
  <si>
    <t>Blinding instructions shared.</t>
  </si>
  <si>
    <t>Time tracking confirmed or accepted.</t>
  </si>
  <si>
    <t>RIS files available.</t>
  </si>
  <si>
    <t>Protocol and criteria available.</t>
  </si>
  <si>
    <t>Data items available.</t>
  </si>
  <si>
    <t>Data extraction structure accepted for current stage.</t>
  </si>
  <si>
    <t>Template/readiness accepted for current stage.</t>
  </si>
  <si>
    <t>Abstract screening tool setup complete.</t>
  </si>
  <si>
    <t>Abstract screening setup validated.</t>
  </si>
  <si>
    <t>Abstract screening nearly complete / ongoing.</t>
  </si>
  <si>
    <t>AI-assisted abstract screening ongoing.</t>
  </si>
  <si>
    <t>Review Team / Nested Knowledge</t>
  </si>
  <si>
    <t>Nested Knowledge resolved trial registry and multi-abstract PDF handling; remaining unavailable/paywalled records require follow-up.</t>
  </si>
  <si>
    <t>Full-text readiness issue partially resolved.</t>
  </si>
  <si>
    <t>Remaining unavailable or paywalled full texts have been commented on in Study Inspector.</t>
  </si>
  <si>
    <t>Confirm whether a check-in is needed before full-text setup proceeds.</t>
  </si>
  <si>
    <t>Confirm full-text criteria and handling of remaining full-text issues.</t>
  </si>
  <si>
    <t>Hold full-text AI setup until criteria and remaining full-text issues are resolved.</t>
  </si>
  <si>
    <t>Review accepted for Phase 1 tracking but active work starts after search.</t>
  </si>
  <si>
    <t>Fruit &amp; Veg.</t>
  </si>
  <si>
    <t>PM confirmation pending closer to start date.</t>
  </si>
  <si>
    <t>Final confirmation pending.</t>
  </si>
  <si>
    <t>Allocated tool pending.</t>
  </si>
  <si>
    <t>Team split to be confirmed before setup.</t>
  </si>
  <si>
    <t>Tool access pending allocation.</t>
  </si>
  <si>
    <t>Search/RIS expected after 20 May search.</t>
  </si>
  <si>
    <t>Protocol and criteria to be collected after team is ready.</t>
  </si>
  <si>
    <t>Start only after tool allocation and RIS/materials are available.</t>
  </si>
  <si>
    <t>Candidate review under consideration.</t>
  </si>
  <si>
    <t>Chlamydia.</t>
  </si>
  <si>
    <t>PM confirmation pending.</t>
  </si>
  <si>
    <t>AI tool allocation pending.</t>
  </si>
  <si>
    <t>Team split pending after eligibility/participation confirmation.</t>
  </si>
  <si>
    <t>Do not request setup materials until candidate is confirmed.</t>
  </si>
  <si>
    <t>No tool setup until confirmed.</t>
  </si>
  <si>
    <t>Additional eligible review still needs to be identified or confirmed.</t>
  </si>
  <si>
    <t>Review 5 TBD.</t>
  </si>
  <si>
    <t>PM confirmation after candidate selected.</t>
  </si>
  <si>
    <t>Final confirmation after candidate selected.</t>
  </si>
  <si>
    <t>AI tool allocation after review selected.</t>
  </si>
  <si>
    <t>Team split after review selected.</t>
  </si>
  <si>
    <t>Core Team / Ella / Gerald</t>
  </si>
  <si>
    <t>Candidate details received; eligibility and timeline require confirmation.</t>
  </si>
  <si>
    <t>Human Milk Fortifier.</t>
  </si>
  <si>
    <t>No PM confirmation until selected.</t>
  </si>
  <si>
    <t>No final confirmation until selected.</t>
  </si>
  <si>
    <t>Tool allocation only if selected.</t>
  </si>
  <si>
    <t>Search completed but results not yet appraised.</t>
  </si>
  <si>
    <t>Candidate details received; eligibility requires clarification.</t>
  </si>
  <si>
    <t>Abdominal Irrigation.</t>
  </si>
  <si>
    <t>No PM confirmation until eligibility decision.</t>
  </si>
  <si>
    <t>No final confirmation until eligibility decision.</t>
  </si>
  <si>
    <t>Search completed and at least one study identified.</t>
  </si>
  <si>
    <t>Extraction details not yet reviewed for platform study.</t>
  </si>
  <si>
    <t>Krishna / Ella</t>
  </si>
  <si>
    <t>Independent non-Cochrane review declined for current phase.</t>
  </si>
  <si>
    <t>Postmenopausal Osteoporosis.</t>
  </si>
  <si>
    <t>task-pilot-01-001</t>
  </si>
  <si>
    <t>Verify Matteo time-on-task values</t>
  </si>
  <si>
    <t>Krishna / Amin</t>
  </si>
  <si>
    <t>Matteo self-reported time</t>
  </si>
  <si>
    <t>Check whether reported title/abstract and data extraction times are sufficiently reliable for pilot note.</t>
  </si>
  <si>
    <t>Caffeine pilot closeout.</t>
  </si>
  <si>
    <t>task-pilot-01-002</t>
  </si>
  <si>
    <t>Krishna / Susan</t>
  </si>
  <si>
    <t>Survey access</t>
  </si>
  <si>
    <t>Matteo said all surveys were submitted; confirm in survey system.</t>
  </si>
  <si>
    <t>task-pilot-01-003</t>
  </si>
  <si>
    <t>Capture lessons learned before pilot closeout</t>
  </si>
  <si>
    <t>Krishna / Core Team</t>
  </si>
  <si>
    <t>Lessons document</t>
  </si>
  <si>
    <t>Include review retention, tool support, workload clarity, and volunteer usability points.</t>
  </si>
  <si>
    <t>task-pilot-02-001</t>
  </si>
  <si>
    <t>Confirm latest Laser AI progress and outputs</t>
  </si>
  <si>
    <t>Sean / Laser AI / Review Team</t>
  </si>
  <si>
    <t>Vendor/team update</t>
  </si>
  <si>
    <t>Clarify whether remaining pilot outputs are ready for closeout and adjudication preparation.</t>
  </si>
  <si>
    <t>DMARDs / RA pilot completion check.</t>
  </si>
  <si>
    <t>task-pilot-02-002</t>
  </si>
  <si>
    <t>Confirm whether outputs can move toward adjudication preparation</t>
  </si>
  <si>
    <t>Pilot completion status</t>
  </si>
  <si>
    <t>Confirm whether outputs are complete enough to share with Sean/data manager.</t>
  </si>
  <si>
    <t>task-phase1-01-001</t>
  </si>
  <si>
    <t>Final data items and review materials</t>
  </si>
  <si>
    <t>Proceed with Laser AI setup using the final data items file uploaded by Sean.</t>
  </si>
  <si>
    <t>task-phase1-01-002</t>
  </si>
  <si>
    <t>Sean / Meghan / Response Team</t>
  </si>
  <si>
    <t>Final data items file</t>
  </si>
  <si>
    <t>Sean uploaded the final data items file and Doreen confirmed the final change makes sense.</t>
  </si>
  <si>
    <t>Data extraction comparability issue appears resolved.</t>
  </si>
  <si>
    <t>task-phase1-01-003</t>
  </si>
  <si>
    <t>Offer Clockify or a simple manual stopwatch/Excel method if easier for the review team.</t>
  </si>
  <si>
    <t>task-phase1-01-004</t>
  </si>
  <si>
    <t>Project tracking</t>
  </si>
  <si>
    <t>task-phase1-02-001</t>
  </si>
  <si>
    <t>Confirm remaining full-text gaps with review team</t>
  </si>
  <si>
    <t>Review Team / Meghan / Nested Knowledge</t>
  </si>
  <si>
    <t>Remaining unavailable or paywalled full texts</t>
  </si>
  <si>
    <t>Nested Knowledge commented on unavailable or paywalled records; confirm whether review team can source remaining files.</t>
  </si>
  <si>
    <t>task-phase1-02-002</t>
  </si>
  <si>
    <t>Meghan / Response Team</t>
  </si>
  <si>
    <t>Full-text files and criteria</t>
  </si>
  <si>
    <t>Trial registry and multi-abstract PDF issues were addressed by Nested Knowledge; remaining access gaps need confirmation.</t>
  </si>
  <si>
    <t>task-phase1-02-003</t>
  </si>
  <si>
    <t>Confirm full-text criteria and handling of remaining full-text issues</t>
  </si>
  <si>
    <t>Eligibility criteria and full-text package</t>
  </si>
  <si>
    <t>Confirm criteria before full-text AI setup proceeds.</t>
  </si>
  <si>
    <t>task-phase1-02-004</t>
  </si>
  <si>
    <t>Send usability survey after abstract screening completion</t>
  </si>
  <si>
    <t>After abstract screening</t>
  </si>
  <si>
    <t>Abstract screening completion</t>
  </si>
  <si>
    <t>Send survey when abstract screening is confirmed complete.</t>
  </si>
  <si>
    <t>task-phase1-03-001</t>
  </si>
  <si>
    <t>Confirm allocated AI tool and review team access</t>
  </si>
  <si>
    <t>Krishna / Response Team</t>
  </si>
  <si>
    <t>Tool allocation</t>
  </si>
  <si>
    <t>Confirm logins and reviewer access before setup.</t>
  </si>
  <si>
    <t>task-phase1-03-002</t>
  </si>
  <si>
    <t>Arrange allocated tool training closer to study start date</t>
  </si>
  <si>
    <t>Krishna / Tool Team</t>
  </si>
  <si>
    <t>Closer to start date</t>
  </si>
  <si>
    <t>Schedule training near active start.</t>
  </si>
  <si>
    <t>task-phase1-03-003</t>
  </si>
  <si>
    <t>Collect search results after 20 May search</t>
  </si>
  <si>
    <t>After 20 May</t>
  </si>
  <si>
    <t>Search completion</t>
  </si>
  <si>
    <t>Ask team to share RIS/search results after scheduled search.</t>
  </si>
  <si>
    <t>task-phase1-03-004</t>
  </si>
  <si>
    <t>Response Team</t>
  </si>
  <si>
    <t>After materials received</t>
  </si>
  <si>
    <t>RIS and review materials</t>
  </si>
  <si>
    <t>Start setup only when materials are available.</t>
  </si>
  <si>
    <t>task-phase1-04-001</t>
  </si>
  <si>
    <t>Confirm review eligibility and participation</t>
  </si>
  <si>
    <t>Review confirmation</t>
  </si>
  <si>
    <t>Confirm whether this review can be included in Phase 1.</t>
  </si>
  <si>
    <t>task-phase1-04-002</t>
  </si>
  <si>
    <t>Confirm review timeline and start date</t>
  </si>
  <si>
    <t>Team availability</t>
  </si>
  <si>
    <t>task-phase1-04-003</t>
  </si>
  <si>
    <t>task-phase1-04-004</t>
  </si>
  <si>
    <t>After confirmation</t>
  </si>
  <si>
    <t>Eligibility and allocation</t>
  </si>
  <si>
    <t>task-phase1-05-001</t>
  </si>
  <si>
    <t>Identify additional eligible review</t>
  </si>
  <si>
    <t>Candidate pool</t>
  </si>
  <si>
    <t>Shortlist review options.</t>
  </si>
  <si>
    <t>task-phase1-05-002</t>
  </si>
  <si>
    <t>Review identification</t>
  </si>
  <si>
    <t>Contact review team once candidate is selected.</t>
  </si>
  <si>
    <t>task-phase1-05-003</t>
  </si>
  <si>
    <t>task-phase1-05-004</t>
  </si>
  <si>
    <t>Review and tool confirmation</t>
  </si>
  <si>
    <t>task-candidate-01-001</t>
  </si>
  <si>
    <t>Confirm eligibility for platform study</t>
  </si>
  <si>
    <t>Krishna / Ella / Gerald</t>
  </si>
  <si>
    <t>Candidate review details</t>
  </si>
  <si>
    <t>Assess whether the Cochrane Neonatal update can fit the current study criteria and timeline.</t>
  </si>
  <si>
    <t>task-candidate-01-002</t>
  </si>
  <si>
    <t>Request explicit written consent from corresponding author</t>
  </si>
  <si>
    <t>Krishna / Premkumar</t>
  </si>
  <si>
    <t>Corresponding author approval</t>
  </si>
  <si>
    <t>Request consent wording from Premkumar on behalf of the author team.</t>
  </si>
  <si>
    <t>Corresponding author email: premkuma@bcm.edu.</t>
  </si>
  <si>
    <t>task-candidate-01-003</t>
  </si>
  <si>
    <t>Clarify search appraisal status</t>
  </si>
  <si>
    <t>Mohan Pammi / Review Team</t>
  </si>
  <si>
    <t>Search completed but not appraised</t>
  </si>
  <si>
    <t>Confirm whether at least one eligible new study has been identified after appraisal.</t>
  </si>
  <si>
    <t>task-candidate-01-004</t>
  </si>
  <si>
    <t>Assess feasibility for Phase 1 timeline</t>
  </si>
  <si>
    <t>Update planned before Dec 2026</t>
  </si>
  <si>
    <t>Timeline may be too late for current Phase 1; confirm whether any part can fit.</t>
  </si>
  <si>
    <t>task-candidate-02-001</t>
  </si>
  <si>
    <t>Clarify eligibility with Ella/Gerald</t>
  </si>
  <si>
    <t>Cochrane eligibility uncertainty</t>
  </si>
  <si>
    <t>Review is WHO-commissioned and not clearly supported by a Cochrane group, despite link to previous Cochrane Wounds review.</t>
  </si>
  <si>
    <t>task-candidate-02-002</t>
  </si>
  <si>
    <t>Confirm whether review qualifies as Cochrane review/update</t>
  </si>
  <si>
    <t>Eligibility decision</t>
  </si>
  <si>
    <t>Decide whether this can proceed or should be treated as non-Cochrane.</t>
  </si>
  <si>
    <t>task-candidate-02-003</t>
  </si>
  <si>
    <t>Request explicit written consent if eligible</t>
  </si>
  <si>
    <t>Krishna / Anna Joy Rogers</t>
  </si>
  <si>
    <t>After eligibility confirmation</t>
  </si>
  <si>
    <t>Request formal consent only if review is eligible.</t>
  </si>
  <si>
    <t>task-candidate-02-004</t>
  </si>
  <si>
    <t>Screening/extraction timeline</t>
  </si>
  <si>
    <t>task-candidate-03-001</t>
  </si>
  <si>
    <t>Keep non-Cochrane review closed</t>
  </si>
  <si>
    <t>No further action unless the team shares a Cochrane review update this year.</t>
  </si>
  <si>
    <t>task-candidate-03-002</t>
  </si>
  <si>
    <t>Monitor for future Cochrane review update</t>
  </si>
  <si>
    <t>Future phase</t>
  </si>
  <si>
    <t>Future review opportunity</t>
  </si>
  <si>
    <t>Patricia may share a Cochrane review update if available later this year.</t>
  </si>
  <si>
    <t>task-global-001</t>
  </si>
  <si>
    <t>Share survey tracking table with Susan</t>
  </si>
  <si>
    <t>Survey tracking request</t>
  </si>
  <si>
    <t>Susan requested table with Cochrane review ID, team size, assigned tool, and expected timelines for screening and data extraction.</t>
  </si>
  <si>
    <t>Global survey/admin task.</t>
  </si>
  <si>
    <t>task-global-002</t>
  </si>
  <si>
    <t>Schedule/attend usability survey timeline meeting with Susan</t>
  </si>
  <si>
    <t>Calendar invite</t>
  </si>
  <si>
    <t>Susan sent a calendar invite for 15 May; confirm if the proposed time works.</t>
  </si>
  <si>
    <t>task-global-003</t>
  </si>
  <si>
    <t>Use flexible time tracking while keeping comparable records</t>
  </si>
  <si>
    <t>Krishna / Review Teams</t>
  </si>
  <si>
    <t>Time tracking model</t>
  </si>
  <si>
    <t>Allow Clockify or manual stopwatch/Excel tracking, but keep comparable fields across human and AI groups.</t>
  </si>
  <si>
    <t>Cross-review task.</t>
  </si>
  <si>
    <t>task-phase2-01-001</t>
  </si>
  <si>
    <t>After Phase 1</t>
  </si>
  <si>
    <t>Phase 1 lessons learned</t>
  </si>
  <si>
    <t>Use Phase 1 lessons before scaling Phase 2.</t>
  </si>
  <si>
    <t>Phase 2 planning placeholder.</t>
  </si>
  <si>
    <t>comm-pilot-01-001</t>
  </si>
  <si>
    <t>Pilot time-on-task update</t>
  </si>
  <si>
    <t>Matteo reported title/abstract and data extraction timing values; full-text time was not reported and needs to be documented as a limitation.</t>
  </si>
  <si>
    <t>Caffeine pilot.</t>
  </si>
  <si>
    <t>comm-pilot-01-002</t>
  </si>
  <si>
    <t>Pilot survey completion update</t>
  </si>
  <si>
    <t>Matteo indicated survey completion, but receipt should be confirmed in the survey system.</t>
  </si>
  <si>
    <t>comm-pilot-02-001</t>
  </si>
  <si>
    <t>DMARDs pilot completion follow-up</t>
  </si>
  <si>
    <t>Core Team / Sean</t>
  </si>
  <si>
    <t>Latest Laser AI completion status and availability of outputs for adjudication preparation remain unclear.</t>
  </si>
  <si>
    <t>DMARDs / RA pilot.</t>
  </si>
  <si>
    <t>comm-phase1-01-001</t>
  </si>
  <si>
    <t>BP Targets data items finalization</t>
  </si>
  <si>
    <t>Sean Gardner</t>
  </si>
  <si>
    <t>Sean uploaded the final data items file after moving the instruction “Record timepoint, if applicable” into the instruction field for outcome data items.</t>
  </si>
  <si>
    <t>Blood pressure targets.</t>
  </si>
  <si>
    <t>comm-phase1-01-002</t>
  </si>
  <si>
    <t>BP Targets confirmation</t>
  </si>
  <si>
    <t>Doreen confirmed that Sean’s final minor change makes sense.</t>
  </si>
  <si>
    <t>Use this to mark DE comparability as resolved or mostly resolved.</t>
  </si>
  <si>
    <t>comm-phase1-01-003</t>
  </si>
  <si>
    <t>BP Targets team check-in invitation</t>
  </si>
  <si>
    <t>Doreen Larvie / Review Team</t>
  </si>
  <si>
    <t>Sent</t>
  </si>
  <si>
    <t>Check-in email sent to understand progress, issues encountered, and support needs for the Blood pressure targets review.</t>
  </si>
  <si>
    <t>Meeting availability requested.</t>
  </si>
  <si>
    <t>comm-phase1-02-001</t>
  </si>
  <si>
    <t>Nested Knowledge full-text issue update</t>
  </si>
  <si>
    <t>Ranita Tarchand</t>
  </si>
  <si>
    <t>Nested Knowledge / Meghan / Review Team</t>
  </si>
  <si>
    <t>Nested Knowledge completed action items #1 and #2 inside the Plaque Psoriasis project: trial registries with PDFs were added through CT.gov integration and multi-abstract PDFs were snipped to include the relevant abstract.</t>
  </si>
  <si>
    <t>comm-phase1-02-002</t>
  </si>
  <si>
    <t>Remaining full-text access gaps</t>
  </si>
  <si>
    <t>Review Team / Meghan</t>
  </si>
  <si>
    <t>Nested Knowledge reviewed records without full text and commented on records where a full text could not be sourced or was restricted behind a paywall.</t>
  </si>
  <si>
    <t>Requires review-team follow-up for remaining unavailable or paywalled records.</t>
  </si>
  <si>
    <t>comm-phase1-02-003</t>
  </si>
  <si>
    <t>Psoriasis team check-in invitation</t>
  </si>
  <si>
    <t>Check-in email sent to understand current progress, issues encountered, and support needs for the psoriasis review.</t>
  </si>
  <si>
    <t>comm-phase1-03-001</t>
  </si>
  <si>
    <t>Fruit and vegetable search timing</t>
  </si>
  <si>
    <t>Rebecca K. Hodder / Review Team</t>
  </si>
  <si>
    <t>Search is expected around 20 May; setup and training should be aligned closer to the active start date.</t>
  </si>
  <si>
    <t>comm-phase1-03-002</t>
  </si>
  <si>
    <t>Fruit and vegetable setup planning</t>
  </si>
  <si>
    <t>Need to confirm allocated tool, review team access, and collect RIS/search results after the scheduled search.</t>
  </si>
  <si>
    <t>comm-phase1-04-001</t>
  </si>
  <si>
    <t>Chlamydia candidate tracking</t>
  </si>
  <si>
    <t>Elena Kostov / Core Team</t>
  </si>
  <si>
    <t>Krishna / Gerald / Ella</t>
  </si>
  <si>
    <t>Screening for genital chlamydia infection remains under review as a possible Phase 1 review. Eligibility, participation, timeline, and tool allocation need confirmation before setup.</t>
  </si>
  <si>
    <t>Chlamydia candidate.</t>
  </si>
  <si>
    <t>comm-phase1-05-001</t>
  </si>
  <si>
    <t>Additional Phase 1 review slot</t>
  </si>
  <si>
    <t>One additional eligible review still needs to be identified or confirmed for Phase 1.</t>
  </si>
  <si>
    <t>Review 5 placeholder.</t>
  </si>
  <si>
    <t>comm-candidate-01-001</t>
  </si>
  <si>
    <t>Human milk fortifier candidate details</t>
  </si>
  <si>
    <t>Mohan Pammi</t>
  </si>
  <si>
    <t>Krishna / Ella / Ruth</t>
  </si>
  <si>
    <t>Candidate review details received for Human milk-derived fortifier versus bovine milk-derived fortifier for preterm neonates. The review is a Cochrane Neonatal update and RCTs are eligible.</t>
  </si>
  <si>
    <t>Corresponding author: Premkumar, premkuma@bcm.edu.</t>
  </si>
  <si>
    <t>comm-candidate-01-002</t>
  </si>
  <si>
    <t>Human milk fortifier search status</t>
  </si>
  <si>
    <t>Search has been completed, but results have not yet been appraised. Team believes there will be one or more studies to include.</t>
  </si>
  <si>
    <t>Cochrane group: Cochrane Neonatal; contact Michelle Fiander.</t>
  </si>
  <si>
    <t>comm-candidate-01-003</t>
  </si>
  <si>
    <t>Human milk fortifier timeline</t>
  </si>
  <si>
    <t>Team plans to update the review within six months, before December 2026. Need to assess fit with current Phase 1 timeline.</t>
  </si>
  <si>
    <t>Timeline may be too late for current Phase 1.</t>
  </si>
  <si>
    <t>comm-candidate-02-001</t>
  </si>
  <si>
    <t>Abdominal irrigation candidate details</t>
  </si>
  <si>
    <t>Candidate review details received for Abdominal irrigation in Caesarean section. Search is complete and at least one new study has been identified.</t>
  </si>
  <si>
    <t>Keep under review.</t>
  </si>
  <si>
    <t>comm-candidate-02-002</t>
  </si>
  <si>
    <t>Abdominal irrigation eligibility concern</t>
  </si>
  <si>
    <t>The review is commissioned by WHO and related to a previous Cochrane Wounds review, but it is not clearly supported by a current Cochrane group. Eligibility needs clarification.</t>
  </si>
  <si>
    <t>Do not mark not eligible yet.</t>
  </si>
  <si>
    <t>comm-candidate-02-003</t>
  </si>
  <si>
    <t>Abdominal irrigation timeline</t>
  </si>
  <si>
    <t>Team plans to complete extraction by June and paper by end of August or early September.</t>
  </si>
  <si>
    <t>comm-candidate-03-001</t>
  </si>
  <si>
    <t>Postmenopausal osteoporosis eligibility decision</t>
  </si>
  <si>
    <t>Krishna / Patricia Clark</t>
  </si>
  <si>
    <t>Independent non-Cochrane systematic review was declined for the current project phase because the study is focused on Cochrane review updates and Cochrane-related workflows.</t>
  </si>
  <si>
    <t>Reply already sent.</t>
  </si>
  <si>
    <t>comm-candidate-03-002</t>
  </si>
  <si>
    <t>Future Cochrane update invitation</t>
  </si>
  <si>
    <t>Patricia was invited to share any Cochrane review updates this year that may meet study criteria.</t>
  </si>
  <si>
    <t>Keep as backend history only.</t>
  </si>
  <si>
    <t>comm-global-001</t>
  </si>
  <si>
    <t>Usability survey tracking request</t>
  </si>
  <si>
    <t>Susan Banda</t>
  </si>
  <si>
    <t>Susan requested a table for the main study and pilot with Cochrane review ID, total number of people in each review team, assigned tool, and expected timelines for title/abstract screening, full-text screening, and data extraction.</t>
  </si>
  <si>
    <t>Global survey/admin item.</t>
  </si>
  <si>
    <t>comm-global-002</t>
  </si>
  <si>
    <t>Usability survey meeting invite</t>
  </si>
  <si>
    <t>Susan sent a calendar invite for 15 May and asked Krishna to confirm whether the proposed time works.</t>
  </si>
  <si>
    <t>Global meeting/admin item.</t>
  </si>
  <si>
    <t>comm-global-003</t>
  </si>
  <si>
    <t>Flexible time tracking model</t>
  </si>
  <si>
    <t>Use flexible time tracking while keeping comparable records across human and AI-assisted groups.</t>
  </si>
  <si>
    <t>Cross-review action.</t>
  </si>
  <si>
    <t>Pilot Team</t>
  </si>
  <si>
    <t>RIS not being tracked for pilot closeout.</t>
  </si>
  <si>
    <t>Full-text timing not reported; file readiness not actively tracked.</t>
  </si>
  <si>
    <t>Criteria file not recorded in current dashboard backend.</t>
  </si>
  <si>
    <t>Extraction data/time reported by Matteo but source file readiness not confirmed.</t>
  </si>
  <si>
    <t>Protocol not recorded in current dashboard backend.</t>
  </si>
  <si>
    <t>Verify Matteo’s reported time-on-task values before pilot closeout.</t>
  </si>
  <si>
    <t>RIS not confirmed in current dashboard backend.</t>
  </si>
  <si>
    <t>PDF readiness not confirmed.</t>
  </si>
  <si>
    <t>Criteria readiness not confirmed.</t>
  </si>
  <si>
    <t>Extraction output status unclear.</t>
  </si>
  <si>
    <t>Protocol not confirmed in current dashboard backend.</t>
  </si>
  <si>
    <t>Time-on-task and completion status still need confirmation.</t>
  </si>
  <si>
    <t>RIS materials appear available; confirm completeness if needed.</t>
  </si>
  <si>
    <t>Not Yet Required</t>
  </si>
  <si>
    <t>PDFs not yet required for current abstract screening setup stage.</t>
  </si>
  <si>
    <t>Protocol and inclusion/exclusion materials appear available.</t>
  </si>
  <si>
    <t>Final data items file uploaded by Sean on 14 May; Doreen confirmed final minor change.</t>
  </si>
  <si>
    <t>Previously pending, now mark ready based on Sean/Doreen thread.</t>
  </si>
  <si>
    <t>Protocol available for setup.</t>
  </si>
  <si>
    <t>Confirm Clockify or alternate manual time-tracking setup.</t>
  </si>
  <si>
    <t>Partial</t>
  </si>
  <si>
    <t>Nested Knowledge resolved trial registry PDFs and multi-abstract PDFs; some unavailable/paywalled records remain.</t>
  </si>
  <si>
    <t>Use Partial if dropdown allows; otherwise use No with Status = In Progress.</t>
  </si>
  <si>
    <t>Confirm full-text criteria and handling of remaining full-text issues before full-text setup.</t>
  </si>
  <si>
    <t>Extraction items not yet active for current stage.</t>
  </si>
  <si>
    <t>Time tracking accepted or confirmed for current workflow.</t>
  </si>
  <si>
    <t>PDFs not yet required before search/RIS completion.</t>
  </si>
  <si>
    <t>Protocol and inclusion/exclusion criteria to be collected after team is ready.</t>
  </si>
  <si>
    <t>Extraction items not yet required.</t>
  </si>
  <si>
    <t>Protocol not yet received in current backend.</t>
  </si>
  <si>
    <t>Before active start</t>
  </si>
  <si>
    <t>Confirm time-tracking method before screening begins.</t>
  </si>
  <si>
    <t>PDF readiness not applicable until review is confirmed.</t>
  </si>
  <si>
    <t>Criteria to be collected only if candidate proceeds.</t>
  </si>
  <si>
    <t>Extraction items to be collected only if candidate proceeds.</t>
  </si>
  <si>
    <t>Protocol to be requested if review is confirmed.</t>
  </si>
  <si>
    <t>Time tracking to be set up after eligibility and participation confirmation.</t>
  </si>
  <si>
    <t>After review selected</t>
  </si>
  <si>
    <t>No review selected yet.</t>
  </si>
  <si>
    <t>Review Team / Mohan Pammi</t>
  </si>
  <si>
    <t>Search completed, but results have not yet been appraised; confirm whether at least one eligible new study is identified.</t>
  </si>
  <si>
    <t>Not yet requested; candidate under review.</t>
  </si>
  <si>
    <t>Review Team / Cochrane Neonatal</t>
  </si>
  <si>
    <t>Cochrane review details and scope provided; eligibility needs confirmation.</t>
  </si>
  <si>
    <t>Extraction structure not yet reviewed for platform study.</t>
  </si>
  <si>
    <t>Previous Cochrane review link provided; protocol/update materials may still need confirmation.</t>
  </si>
  <si>
    <t>After selection</t>
  </si>
  <si>
    <t>Time tracking only if selected.</t>
  </si>
  <si>
    <t>Review Team / Anna Joy Rogers</t>
  </si>
  <si>
    <t>PDF package not yet requested; eligibility decision pending.</t>
  </si>
  <si>
    <t>Scope and eligible design shared; eligibility as Cochrane review/update still unclear.</t>
  </si>
  <si>
    <t>June</t>
  </si>
  <si>
    <t>Team plans extraction by June; structure not yet reviewed for platform study.</t>
  </si>
  <si>
    <t>Related to previous Cochrane Wounds review but current WHO-commissioned review is not clearly Cochrane-supported.</t>
  </si>
  <si>
    <t>Use Partial if dropdown allows; otherwise use No with Status = Under Review.</t>
  </si>
  <si>
    <t>After eligibility decision</t>
  </si>
  <si>
    <t>Not Applicable</t>
  </si>
  <si>
    <t>Non-Cochrane review declined for current phase.</t>
  </si>
  <si>
    <t>Placeholder only.</t>
  </si>
  <si>
    <t>Phase 2 Batch.</t>
  </si>
  <si>
    <t>crit-pilot-01-001</t>
  </si>
  <si>
    <t>Full-text time not reported</t>
  </si>
  <si>
    <t>Matteo reported title/abstract and data extraction times, but full-text time was not reported.</t>
  </si>
  <si>
    <t>Pilot closeout evidence may have incomplete time-on-task data.</t>
  </si>
  <si>
    <t>Document full-text time as not reported and verify whether any additional time record exists.</t>
  </si>
  <si>
    <t>crit-pilot-02-001</t>
  </si>
  <si>
    <t>Pilot output status unclear</t>
  </si>
  <si>
    <t>Latest Laser AI completion status and output readiness for DMARDs / RA remain unclear.</t>
  </si>
  <si>
    <t>May delay pilot closeout and adjudication preparation.</t>
  </si>
  <si>
    <t>Confirm latest completion status and whether outputs are ready for Sean/adjudication package.</t>
  </si>
  <si>
    <t>crit-phase1-01-001</t>
  </si>
  <si>
    <t>Time tracking not confirmed</t>
  </si>
  <si>
    <t>Clockify or alternate time-tracking setup is still not confirmed for BP Targets.</t>
  </si>
  <si>
    <t>Time-on-task comparison may be incomplete if reviewers start without agreed tracking.</t>
  </si>
  <si>
    <t>Confirm Clockify or manual stopwatch/Excel tracking before active screening begins.</t>
  </si>
  <si>
    <t>crit-phase1-01-002</t>
  </si>
  <si>
    <t>Data items finalization recently resolved</t>
  </si>
  <si>
    <t>Data extraction comparability appears resolved after Sean uploaded the final file and Doreen confirmed the change, but downstream teams should use the final version only.</t>
  </si>
  <si>
    <t>Using an earlier data-items version could create setup inconsistency.</t>
  </si>
  <si>
    <t>Confirm Response Team and Laser AI setup use the final data items file from 14 May.</t>
  </si>
  <si>
    <t>Mark lower risk if confirmed.</t>
  </si>
  <si>
    <t>crit-phase1-02-001</t>
  </si>
  <si>
    <t>Remaining full-text gaps</t>
  </si>
  <si>
    <t>Some full texts in the psoriasis review remain unavailable or paywalled after Nested Knowledge addressed trial registry and multi-abstract PDF issues.</t>
  </si>
  <si>
    <t>May delay full-text readiness and downstream tool setup.</t>
  </si>
  <si>
    <t>Ask review team to source remaining full texts or document unavailable records.</t>
  </si>
  <si>
    <t>crit-phase1-02-002</t>
  </si>
  <si>
    <t>Full-text criteria still need confirmation</t>
  </si>
  <si>
    <t>Full-text AI setup should not proceed until criteria and handling of remaining full-text issues are confirmed.</t>
  </si>
  <si>
    <t>Risk of incorrect full-text setup or inconsistent eligibility decisions.</t>
  </si>
  <si>
    <t>Confirm full-text criteria and decisions on trial registries, conference abstracts, and unavailable PDFs.</t>
  </si>
  <si>
    <t>MoM / Email</t>
  </si>
  <si>
    <t>crit-phase1-03-001</t>
  </si>
  <si>
    <t>RIS/search results not yet available</t>
  </si>
  <si>
    <t>Fruit &amp; Veg search is expected around 20 May, so RIS and setup package are not yet available.</t>
  </si>
  <si>
    <t>Tool setup cannot proceed until search/RIS materials are available.</t>
  </si>
  <si>
    <t>Collect RIS/search results after the scheduled search and then begin setup.</t>
  </si>
  <si>
    <t>crit-phase1-03-002</t>
  </si>
  <si>
    <t>Tool allocation pending</t>
  </si>
  <si>
    <t>Allocated AI tool for Fruit &amp; Veg is still pending.</t>
  </si>
  <si>
    <t>Core Team / Krishna</t>
  </si>
  <si>
    <t>Training and setup cannot be finalized until allocation is confirmed.</t>
  </si>
  <si>
    <t>Confirm one allocated AI tool before scheduling active tool training.</t>
  </si>
  <si>
    <t>crit-phase1-04-001</t>
  </si>
  <si>
    <t>Eligibility and participation not confirmed</t>
  </si>
  <si>
    <t>Chlamydia review remains under review and should not move to setup until eligibility, participation, timeline, and tool allocation are confirmed.</t>
  </si>
  <si>
    <t>Krishna / Gerald / Ella / Review Team</t>
  </si>
  <si>
    <t>Premature setup could waste Response Team and tool-provider effort.</t>
  </si>
  <si>
    <t>Confirm eligibility, participation, timeline, and allocated tool before requesting setup materials.</t>
  </si>
  <si>
    <t>crit-phase1-05-001</t>
  </si>
  <si>
    <t>Open Phase 1 review slot</t>
  </si>
  <si>
    <t>One additional eligible Phase 1 review still needs to be identified or confirmed.</t>
  </si>
  <si>
    <t>Phase 1 sample may remain incomplete if no replacement review is confirmed.</t>
  </si>
  <si>
    <t>Use candidate pool to confirm one eligible Cochrane review and then update phase1-05.</t>
  </si>
  <si>
    <t>crit-candidate-01-001</t>
  </si>
  <si>
    <t>Search results not yet appraised</t>
  </si>
  <si>
    <t>Human Milk Fortifier search is completed, but results have not yet been appraised.</t>
  </si>
  <si>
    <t>Eligibility for the study is uncertain until at least one new eligible study is confirmed.</t>
  </si>
  <si>
    <t>Request confirmation after appraisal of search results.</t>
  </si>
  <si>
    <t>crit-candidate-01-002</t>
  </si>
  <si>
    <t>Timeline may not fit Phase 1</t>
  </si>
  <si>
    <t>Human Milk Fortifier team plans to update before December 2026, which may be too late for the current Phase 1 timeline.</t>
  </si>
  <si>
    <t>May not be feasible for the active Phase 1 window.</t>
  </si>
  <si>
    <t>Ask whether screening/data extraction can occur earlier or reserve for later phase.</t>
  </si>
  <si>
    <t>crit-candidate-01-003</t>
  </si>
  <si>
    <t>Consent still required</t>
  </si>
  <si>
    <t>Explicit written consent from the corresponding author is still needed if the review proceeds.</t>
  </si>
  <si>
    <t>Cannot proceed to data use/testing without appropriate written consent.</t>
  </si>
  <si>
    <t>Request consent wording from the corresponding author.</t>
  </si>
  <si>
    <t>crit-candidate-02-001</t>
  </si>
  <si>
    <t>Cochrane eligibility unclear</t>
  </si>
  <si>
    <t>Abdominal Irrigation is WHO-commissioned and related to a previous Cochrane Wounds review, but current Cochrane group support is unclear.</t>
  </si>
  <si>
    <t>May be ineligible if it is not a Cochrane review/update or Cochrane-supported workflow.</t>
  </si>
  <si>
    <t>Clarify eligibility with Ella/Gerald before confirming or declining.</t>
  </si>
  <si>
    <t>Keep under review for now.</t>
  </si>
  <si>
    <t>crit-candidate-02-002</t>
  </si>
  <si>
    <t>Consent should wait until eligibility decision</t>
  </si>
  <si>
    <t>Consent has not yet been requested or confirmed for Abdominal Irrigation and should wait until eligibility is clarified.</t>
  </si>
  <si>
    <t>Could create confusion if requested before eligibility decision.</t>
  </si>
  <si>
    <t>Request consent only if Ella/Gerald confirm eligibility.</t>
  </si>
  <si>
    <t>crit-candidate-03-001</t>
  </si>
  <si>
    <t>Non-Cochrane review not eligible</t>
  </si>
  <si>
    <t>Postmenopausal Osteoporosis review is an independent non-Cochrane review and was declined for the current phase.</t>
  </si>
  <si>
    <t>No current dashboard or setup action required.</t>
  </si>
  <si>
    <t>Keep as backend history only; consider future Cochrane review updates if shared.</t>
  </si>
  <si>
    <t>crit-global-001</t>
  </si>
  <si>
    <t>Survey tracking table needed</t>
  </si>
  <si>
    <t>Susan requested a table covering Cochrane review ID, team size, assigned tool, and expected timelines for screening and data extraction.</t>
  </si>
  <si>
    <t>Global</t>
  </si>
  <si>
    <t>Survey response tracking may be incomplete without this table.</t>
  </si>
  <si>
    <t>Prepare and share table for pilot and main study.</t>
  </si>
  <si>
    <t>Global survey/admin.</t>
  </si>
  <si>
    <t>crit-global-002</t>
  </si>
  <si>
    <t>Time tracking comparability risk</t>
  </si>
  <si>
    <t>Review teams may use different time-tracking methods, creating comparability risk.</t>
  </si>
  <si>
    <t>Effort comparison may be inconsistent if fields are not standardized.</t>
  </si>
  <si>
    <t>Allow flexible methods but require comparable fields across human and AI-assisted workflows.</t>
  </si>
  <si>
    <t>Cross-review risk.</t>
  </si>
  <si>
    <t>General Information Folder</t>
  </si>
  <si>
    <t>Central folder for review teams with onboarding, protocol, templates, and guidance.</t>
  </si>
  <si>
    <t>Main folder; use index sheet inside folder for detailed navigation.</t>
  </si>
  <si>
    <t>Study Protocol</t>
  </si>
  <si>
    <t>Core study protocol and scope document for the Cochrane AI Platform Study.</t>
  </si>
  <si>
    <t>Keep as main protocol/scope reference.</t>
  </si>
  <si>
    <t>Onboarding Presentation</t>
  </si>
  <si>
    <t>Slides used for review team onboarding and study overview.</t>
  </si>
  <si>
    <t>res-006</t>
  </si>
  <si>
    <t>Sean / Krishna</t>
  </si>
  <si>
    <t>Use one folder link instead of separate template links.</t>
  </si>
  <si>
    <t>res-007</t>
  </si>
  <si>
    <t>Adjudication Materials Folder</t>
  </si>
  <si>
    <t>Folder for adjudication slides, PDFs, Excel files, and supporting materials.</t>
  </si>
  <si>
    <t>[insert adjudication folder link]</t>
  </si>
  <si>
    <t>Andreea / Krishna</t>
  </si>
  <si>
    <t>Adjudication</t>
  </si>
  <si>
    <t>To Be Updated</t>
  </si>
  <si>
    <t>https://cochranecollaboration.sharepoint.com/:f:/r/sites/EPM-EPRI/Shared%20Documents/AI%20Methods%20Group%20(Shared%20folder)/2026_AI%20platform%20study%20(Shared%20folder)/AI%20Pilot_Reviews/0%20Info%20Sharing%20with%20Review%20Teams%20(External)/General%20Information?csf=1&amp;web=1&amp;e=3ggmcN</t>
  </si>
  <si>
    <t>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CESAR-protocol-0526-OSF.pdf?csf=1&amp;web=1&amp;e=HDfaea</t>
  </si>
  <si>
    <t>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Review-teams-onboarding_kickoff-combo.key.pdf?csf=1&amp;web=1&amp;e=3fpXvx</t>
  </si>
  <si>
    <t>Index Sheet</t>
  </si>
  <si>
    <t>Guidance to navigate : Abstract screening, full-text screening, and data extraction templates.</t>
  </si>
  <si>
    <t>https://cochranecollaboration.sharepoint.com/:x:/r/sites/EPM-EPRI/Shared%20Documents/AI%20Methods%20Group%20(Shared%20folder)/2026_AI%20platform%20study%20(Shared%20folder)/AI%20Pilot_Reviews/0%20Info%20Sharing%20with%20Review%20Teams%20(External)/General%20Information/00_Review%20Teams_Index%20Sheet.xlsx?d=w586bb761a443432fa57075693a0c1ed1&amp;csf=1&amp;web=1&amp;e=Yzscnq</t>
  </si>
  <si>
    <t>Spreadsheet</t>
  </si>
  <si>
    <t>https://cochranecollaboration.sharepoint.com/:f:/r/sites/EPM-EPRI/Shared%20Documents/AI%20Methods%20Group%20(Shared%20folder)/2026_AI%20platform%20study%20(Shared%20folder)/Adjudication%20and%20Data%20Monitoring%20Committee%20(ADMC)?csf=1&amp;web=1&amp;e=k3SstX</t>
  </si>
  <si>
    <t>Usability survey tracking discussion</t>
  </si>
  <si>
    <t>Discuss survey tracking, review team details, assigned tools, and expected timelines for screening and data extraction.</t>
  </si>
  <si>
    <t>Krishna; Susan Banda; Ursula Griebler</t>
  </si>
  <si>
    <t>[insert meeting link]</t>
  </si>
  <si>
    <t>Susan sent calendar invite for 15 May; confirm exact time from calendar.</t>
  </si>
  <si>
    <t>Core team discussion with Meghan</t>
  </si>
  <si>
    <t>First 15 minutes of the core team call to discuss Laser AI setup, tool setup issues, and coordination needs.</t>
  </si>
  <si>
    <t>Meeting request forwarded to Meghan; update status once confirmed.</t>
  </si>
  <si>
    <t>meet-003</t>
  </si>
  <si>
    <t>meet-004</t>
  </si>
  <si>
    <t>BP Targets review team check-in</t>
  </si>
  <si>
    <t>Check progress on Laser AI setup, final data items, time tracking, and next steps for abstract screening.</t>
  </si>
  <si>
    <t>Invitation email sent 14 May; update exact slot once confirmed.</t>
  </si>
  <si>
    <t>meet-005</t>
  </si>
  <si>
    <t>Psoriasis review team check-in</t>
  </si>
  <si>
    <t>Check progress on abstract screening closeout, full-text readiness, remaining PDF/access issues, and next steps.</t>
  </si>
  <si>
    <t>Laurence Le Cleach; Sivem Afach; Krishna; support team as needed</t>
  </si>
  <si>
    <t>meet-006</t>
  </si>
  <si>
    <t>COB</t>
  </si>
  <si>
    <t>Adjudication pilot deadline</t>
  </si>
  <si>
    <t>Deadline for adjudication pilot task completion using shared slides, PDFs, and Excel file.</t>
  </si>
  <si>
    <t>Use as deadline/reminder rather than live meeting if preferred.</t>
  </si>
  <si>
    <t>PM + PI meeting</t>
  </si>
  <si>
    <t>Align project management updates with PI priorities, escalation items, candidate review decisions, and next reporting needs.</t>
  </si>
  <si>
    <t>Krishna / PI</t>
  </si>
  <si>
    <t>Added as generic PM and PI alignment meeting.</t>
  </si>
  <si>
    <t>Core team; Meghan Sebastianski;</t>
  </si>
  <si>
    <t>Review teams; Krishna : Gerald; support team as needed</t>
  </si>
  <si>
    <t>Adjudication panel; Gerald; Andreea; Krishna</t>
  </si>
  <si>
    <t>Gerald; Krishna;Tom</t>
  </si>
  <si>
    <t>StageName</t>
  </si>
  <si>
    <t>HumanProgress</t>
  </si>
  <si>
    <t>AIProgress</t>
  </si>
  <si>
    <t>Setup / Coordination</t>
  </si>
  <si>
    <t>Abstract Screening</t>
  </si>
  <si>
    <t>Full-text Screening</t>
  </si>
  <si>
    <t>Data Extraction / Analysis</t>
  </si>
  <si>
    <t>Not yet active.</t>
  </si>
  <si>
    <t>Review selected, Nested Knowledge allocated, access and onboarding complete.</t>
  </si>
  <si>
    <t>Setup package and data readiness complete for current stage.</t>
  </si>
  <si>
    <t>Abstract screening is nearly complete / ongoing.</t>
  </si>
  <si>
    <t>Review is being tracked, but active setup waits for search/RIS and tool allocation.</t>
  </si>
  <si>
    <t>Search/RIS expected after 20 May.</t>
  </si>
  <si>
    <t>Do not request setup package until eligibility and participation are confirmed.</t>
  </si>
  <si>
    <t>Candidate details received; eligibility, consent, search appraisal, and timeline need confirmation.</t>
  </si>
  <si>
    <t>Only if candidate is selected.</t>
  </si>
  <si>
    <t>Candidate details received; eligibility needs clarification.</t>
  </si>
  <si>
    <t>Search completed and at least one study identified; extraction timeline provided, but eligibility is unclear.</t>
  </si>
  <si>
    <t>Only if candidate is confirmed eligible.</t>
  </si>
  <si>
    <t>Team plans extraction by June, but platform-study eligibility must be clarified first.</t>
  </si>
  <si>
    <t>Not applicable.</t>
  </si>
  <si>
    <t>Phase 2 placeholder.</t>
  </si>
  <si>
    <t>Full-text readiness has started because NK full-text issues are being resolved.</t>
  </si>
  <si>
    <t>Setup package and abstract screening readiness</t>
  </si>
  <si>
    <t>Sean uploaded the final data items file on 14 May after a minor instruction-field change; Doreen confirmed the change makes sense. Laser AI setup/readiness can proceed.</t>
  </si>
  <si>
    <t>Complete Laser AI setup, confirm time tracking, and validate the abstract screening setup before screening begins.</t>
  </si>
  <si>
    <t>Review selected and Laser AI allocated; final checks on team split/access/time tracking may still be needed.</t>
  </si>
  <si>
    <t>Review Team / Sean / Response Team</t>
  </si>
  <si>
    <t>Final data items file uploaded by Sean; RIS, protocol, criteria, and extraction items appear ready, but setup validation remains active.</t>
  </si>
  <si>
    <t>After setup validation</t>
  </si>
  <si>
    <t>Do not mark abstract screening active until Laser AI setup is validated and the review team begins screening.</t>
  </si>
  <si>
    <t>Complete Laser AI setup readiness</t>
  </si>
  <si>
    <t>BP Targets. Setup phase only.</t>
  </si>
  <si>
    <t>Confirm use of final data items file</t>
  </si>
  <si>
    <t>Validate abstract screening setup before screening starts</t>
  </si>
  <si>
    <t>After setup</t>
  </si>
  <si>
    <t>Setup completion</t>
  </si>
  <si>
    <t>Do not mark abstract screening active until the setup is validated and reviewers begin screening.</t>
  </si>
  <si>
    <t>Confirm full-text readiness after Nested Knowledge fixes</t>
  </si>
  <si>
    <t>Begin setup only after RIS and review materials are available</t>
  </si>
  <si>
    <t>Chlamydia. Candidate stage only.</t>
  </si>
  <si>
    <t>Agree realistic start date only if review is confirmed.</t>
  </si>
  <si>
    <t>Confirm allocated AI tool after eligibility decision</t>
  </si>
  <si>
    <t>Assign one AI tool only after eligibility and participation are confirmed.</t>
  </si>
  <si>
    <t>Hold setup materials request until confirmation</t>
  </si>
  <si>
    <t>Do not request RIS, PDFs, criteria, or extraction materials until the review is confirmed.</t>
  </si>
  <si>
    <t>Review 5 TBD. Candidate identification only.</t>
  </si>
  <si>
    <t>Confirm team availability after candidate selection</t>
  </si>
  <si>
    <t>Assign allocated AI tool after candidate selection</t>
  </si>
  <si>
    <t>Assign one tool only after a review is selected.</t>
  </si>
  <si>
    <t>Hold onboarding until review is confirmed</t>
  </si>
  <si>
    <t>Start onboarding only after candidate and tool are confirmed.</t>
  </si>
  <si>
    <t>Assess setup feasibility if eligible</t>
  </si>
  <si>
    <t>Team plans extraction by June and paper by late Aug/early Sep; assess fit only after eligibility is clarified.</t>
  </si>
  <si>
    <t>Keep Phase 2 placeholder until Phase 1 stabilizes</t>
  </si>
  <si>
    <t>Milestone_Onboarding</t>
  </si>
  <si>
    <t>Milestone_Setup</t>
  </si>
  <si>
    <t>Milestone_Abstract</t>
  </si>
  <si>
    <t>Milestone_FullText</t>
  </si>
  <si>
    <t>Milestone_Extraction</t>
  </si>
  <si>
    <t>Milestone_Analysis</t>
  </si>
  <si>
    <t>Milestone_Status</t>
  </si>
  <si>
    <t>Blank</t>
  </si>
  <si>
    <t>Consolidate usability survey receipt</t>
  </si>
  <si>
    <t>Susan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</si>
</sst>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6"/>
      <color rgb="FF0F172A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color rgb="FF9A3412"/>
      <name val="Carlito"/>
    </font>
    <font>
      <u/>
      <sz val="11"/>
      <color theme="10"/>
      <name val="Carlito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EEF2F7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FFF7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2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/>
    <xf numFmtId="164" fontId="0" fillId="0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/>
    <xf numFmtId="0" fontId="0" fillId="0" borderId="0" xfId="0"/>
    <xf numFmtId="0" fontId="1" fillId="2" borderId="0" xfId="0" applyNumberFormat="1" applyFont="1" applyFill="1" applyBorder="1" applyAlignment="1">
      <alignment horizontal="left" vertical="center"/>
    </xf>
    <xf numFmtId="0" fontId="0" fillId="0" borderId="0" xfId="0"/>
    <xf numFmtId="0" fontId="4" fillId="5" borderId="0" xfId="0" applyNumberFormat="1" applyFont="1" applyFill="1" applyBorder="1" applyAlignment="1">
      <alignment wrapText="1"/>
    </xf>
    <xf numFmtId="14" fontId="0" fillId="0" borderId="0" xfId="0" applyNumberFormat="1" applyFont="1" applyFill="1" applyBorder="1" applyAlignment="1">
      <alignment vertical="top" wrapText="1"/>
    </xf>
    <xf numFmtId="0" fontId="5" fillId="0" borderId="0" xfId="1" applyNumberFormat="1" applyFill="1" applyBorder="1" applyAlignment="1">
      <alignment vertical="top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shboardConfigTable" displayName="DashboardConfigTable" ref="A3:E22">
  <tableColumns count="5">
    <tableColumn id="1" xr3:uid="{00000000-0010-0000-0000-000001000000}" name="ConfigKey"/>
    <tableColumn id="2" xr3:uid="{00000000-0010-0000-0000-000002000000}" name="ConfigValue"/>
    <tableColumn id="3" xr3:uid="{00000000-0010-0000-0000-000003000000}" name="Description"/>
    <tableColumn id="4" xr3:uid="{00000000-0010-0000-0000-000004000000}" name="LastUpdated"/>
    <tableColumn id="5" xr3:uid="{00000000-0010-0000-0000-000005000000}" name="Internal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llReviewsTable" displayName="AllReviewsTable" ref="A3:X21">
  <tableColumns count="24">
    <tableColumn id="1" xr3:uid="{00000000-0010-0000-0100-000001000000}" name="ReviewID"/>
    <tableColumn id="2" xr3:uid="{00000000-0010-0000-0100-000002000000}" name="ShortName"/>
    <tableColumn id="3" xr3:uid="{00000000-0010-0000-0100-000003000000}" name="ReviewTitle"/>
    <tableColumn id="4" xr3:uid="{00000000-0010-0000-0100-000004000000}" name="Phase"/>
    <tableColumn id="5" xr3:uid="{00000000-0010-0000-0100-000005000000}" name="Status"/>
    <tableColumn id="6" xr3:uid="{00000000-0010-0000-0100-000006000000}" name="Risk"/>
    <tableColumn id="7" xr3:uid="{00000000-0010-0000-0100-000007000000}" name="Tool"/>
    <tableColumn id="8" xr3:uid="{00000000-0010-0000-0100-000008000000}" name="Lead"/>
    <tableColumn id="9" xr3:uid="{00000000-0010-0000-0100-000009000000}" name="CurrentStage"/>
    <tableColumn id="10" xr3:uid="{00000000-0010-0000-0100-00000A000000}" name="CurrentUpdate"/>
    <tableColumn id="11" xr3:uid="{00000000-0010-0000-0100-00000B000000}" name="NextAction"/>
    <tableColumn id="12" xr3:uid="{00000000-0010-0000-0100-00000C000000}" name="TargetDate"/>
    <tableColumn id="13" xr3:uid="{00000000-0010-0000-0100-00000D000000}" name="Variance"/>
    <tableColumn id="14" xr3:uid="{00000000-0010-0000-0100-00000E000000}" name="Assessment"/>
    <tableColumn id="24" xr3:uid="{D280BC5A-43C6-4464-8D2D-23A0DFB151B6}" name="Milestone_Onboarding" dataDxfId="0"/>
    <tableColumn id="23" xr3:uid="{2CDEF288-3B6E-4BB9-B413-88C2FA9F649E}" name="Milestone_Setup" dataDxfId="51"/>
    <tableColumn id="22" xr3:uid="{2B13B517-7D2A-4B72-8AF9-894A3B3B2328}" name="Milestone_Abstract" dataDxfId="52"/>
    <tableColumn id="21" xr3:uid="{78FFB56F-2805-4581-80BB-4794D007CC1C}" name="Milestone_FullText" dataDxfId="53"/>
    <tableColumn id="20" xr3:uid="{1335E6D5-A155-4A49-8663-06CA5AB0326B}" name="Milestone_Extraction" dataDxfId="54"/>
    <tableColumn id="19" xr3:uid="{6C3BAF6C-5BCF-4959-9C6E-3A5DFF04EF73}" name="Milestone_Analysis" dataDxfId="55"/>
    <tableColumn id="15" xr3:uid="{00000000-0010-0000-0100-00000F000000}" name="DisplayInHTML"/>
    <tableColumn id="16" xr3:uid="{00000000-0010-0000-0100-000010000000}" name="DisplayOrder"/>
    <tableColumn id="17" xr3:uid="{00000000-0010-0000-0100-000011000000}" name="LastUpdated"/>
    <tableColumn id="18" xr3:uid="{00000000-0010-0000-0100-000012000000}" name="Internal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flowMasterTable" displayName="WorkflowMasterTable" ref="A3:L66">
  <tableColumns count="12">
    <tableColumn id="1" xr3:uid="{00000000-0010-0000-0200-000001000000}" name="WorkflowStepID"/>
    <tableColumn id="2" xr3:uid="{00000000-0010-0000-0200-000002000000}" name="StepOrder"/>
    <tableColumn id="3" xr3:uid="{00000000-0010-0000-0200-000003000000}" name="WorkflowGroup"/>
    <tableColumn id="4" xr3:uid="{00000000-0010-0000-0200-000004000000}" name="ShortName"/>
    <tableColumn id="5" xr3:uid="{00000000-0010-0000-0200-000005000000}" name="FullActivity"/>
    <tableColumn id="6" xr3:uid="{00000000-0010-0000-0200-000006000000}" name="ResponsibleDefault"/>
    <tableColumn id="7" xr3:uid="{00000000-0010-0000-0200-000007000000}" name="DependsOn"/>
    <tableColumn id="8" xr3:uid="{00000000-0010-0000-0200-000008000000}" name="Blocks"/>
    <tableColumn id="9" xr3:uid="{00000000-0010-0000-0200-000009000000}" name="DefaultStatus"/>
    <tableColumn id="10" xr3:uid="{00000000-0010-0000-0200-00000A000000}" name="DisplayInHTML"/>
    <tableColumn id="11" xr3:uid="{00000000-0010-0000-0200-00000B000000}" name="DisplayOrder"/>
    <tableColumn id="12" xr3:uid="{00000000-0010-0000-0200-00000C000000}" name="Internal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viewWorkflowStatusTable" displayName="ReviewWorkflowStatusTable" ref="A3:I83">
  <tableColumns count="9">
    <tableColumn id="1" xr3:uid="{00000000-0010-0000-0300-000001000000}" name="ReviewID"/>
    <tableColumn id="2" xr3:uid="{00000000-0010-0000-0300-000002000000}" name="WorkflowStepID"/>
    <tableColumn id="3" xr3:uid="{00000000-0010-0000-0300-000003000000}" name="Status"/>
    <tableColumn id="4" xr3:uid="{00000000-0010-0000-0300-000004000000}" name="OwnerOverride"/>
    <tableColumn id="5" xr3:uid="{00000000-0010-0000-0300-000005000000}" name="DueDate"/>
    <tableColumn id="6" xr3:uid="{00000000-0010-0000-0300-000006000000}" name="CommunicationNote"/>
    <tableColumn id="7" xr3:uid="{00000000-0010-0000-0300-000007000000}" name="DisplayInHTML"/>
    <tableColumn id="8" xr3:uid="{00000000-0010-0000-0300-000008000000}" name="LastUpdated"/>
    <tableColumn id="9" xr3:uid="{00000000-0010-0000-0300-000009000000}" name="Internal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viewTasksTable" displayName="ReviewTasksTable" ref="A3:O53">
  <tableColumns count="15">
    <tableColumn id="1" xr3:uid="{00000000-0010-0000-0400-000001000000}" name="TaskID"/>
    <tableColumn id="2" xr3:uid="{00000000-0010-0000-0400-000002000000}" name="ReviewID"/>
    <tableColumn id="3" xr3:uid="{00000000-0010-0000-0400-000003000000}" name="Task"/>
    <tableColumn id="4" xr3:uid="{00000000-0010-0000-0400-000004000000}" name="Owner"/>
    <tableColumn id="5" xr3:uid="{00000000-0010-0000-0400-000005000000}" name="Status"/>
    <tableColumn id="6" xr3:uid="{00000000-0010-0000-0400-000006000000}" name="Risk"/>
    <tableColumn id="7" xr3:uid="{00000000-0010-0000-0400-000007000000}" name="DueDate"/>
    <tableColumn id="8" xr3:uid="{00000000-0010-0000-0400-000008000000}" name="Dependency"/>
    <tableColumn id="9" xr3:uid="{00000000-0010-0000-0400-000009000000}" name="Communication"/>
    <tableColumn id="10" xr3:uid="{00000000-0010-0000-0400-00000A000000}" name="Source"/>
    <tableColumn id="11" xr3:uid="{00000000-0010-0000-0400-00000B000000}" name="SourceDate"/>
    <tableColumn id="12" xr3:uid="{00000000-0010-0000-0400-00000C000000}" name="DisplayInHTML"/>
    <tableColumn id="13" xr3:uid="{00000000-0010-0000-0400-00000D000000}" name="DisplayOrder"/>
    <tableColumn id="14" xr3:uid="{00000000-0010-0000-0400-00000E000000}" name="LastUpdated"/>
    <tableColumn id="15" xr3:uid="{00000000-0010-0000-0400-00000F000000}" name="Internal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municationLogTable" displayName="CommunicationLogTable" ref="A3:P35">
  <tableColumns count="16">
    <tableColumn id="1" xr3:uid="{00000000-0010-0000-0500-000001000000}" name="CommunicationID"/>
    <tableColumn id="2" xr3:uid="{00000000-0010-0000-0500-000002000000}" name="ReviewID"/>
    <tableColumn id="3" xr3:uid="{00000000-0010-0000-0500-000003000000}" name="Date"/>
    <tableColumn id="4" xr3:uid="{00000000-0010-0000-0500-000004000000}" name="ConversationName"/>
    <tableColumn id="5" xr3:uid="{00000000-0010-0000-0500-000005000000}" name="FromPerson"/>
    <tableColumn id="6" xr3:uid="{00000000-0010-0000-0500-000006000000}" name="ResponsiblePerson"/>
    <tableColumn id="7" xr3:uid="{00000000-0010-0000-0500-000007000000}" name="DueDate"/>
    <tableColumn id="8" xr3:uid="{00000000-0010-0000-0500-000008000000}" name="Status"/>
    <tableColumn id="9" xr3:uid="{00000000-0010-0000-0500-000009000000}" name="Summary"/>
    <tableColumn id="10" xr3:uid="{00000000-0010-0000-0500-00000A000000}" name="LinkedTaskID"/>
    <tableColumn id="11" xr3:uid="{00000000-0010-0000-0500-00000B000000}" name="SourceType"/>
    <tableColumn id="12" xr3:uid="{00000000-0010-0000-0500-00000C000000}" name="SourceLink"/>
    <tableColumn id="13" xr3:uid="{00000000-0010-0000-0500-00000D000000}" name="DisplayInHTML"/>
    <tableColumn id="14" xr3:uid="{00000000-0010-0000-0500-00000E000000}" name="DisplayOrder"/>
    <tableColumn id="15" xr3:uid="{00000000-0010-0000-0500-00000F000000}" name="LastUpdated"/>
    <tableColumn id="16" xr3:uid="{00000000-0010-0000-0500-000010000000}" name="Internal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FileReadinessTable" displayName="FileReadinessTable" ref="A3:K79">
  <tableColumns count="11">
    <tableColumn id="1" xr3:uid="{00000000-0010-0000-0600-000001000000}" name="ReviewID"/>
    <tableColumn id="2" xr3:uid="{00000000-0010-0000-0600-000002000000}" name="FileType"/>
    <tableColumn id="3" xr3:uid="{00000000-0010-0000-0600-000003000000}" name="FileReady"/>
    <tableColumn id="4" xr3:uid="{00000000-0010-0000-0600-000004000000}" name="Status"/>
    <tableColumn id="5" xr3:uid="{00000000-0010-0000-0600-000005000000}" name="Owner"/>
    <tableColumn id="6" xr3:uid="{00000000-0010-0000-0600-000006000000}" name="DueDate"/>
    <tableColumn id="7" xr3:uid="{00000000-0010-0000-0600-000007000000}" name="Notes"/>
    <tableColumn id="8" xr3:uid="{00000000-0010-0000-0600-000008000000}" name="DisplayInHTML"/>
    <tableColumn id="9" xr3:uid="{00000000-0010-0000-0600-000009000000}" name="DisplayOrder"/>
    <tableColumn id="10" xr3:uid="{00000000-0010-0000-0600-00000A000000}" name="LastUpdated"/>
    <tableColumn id="11" xr3:uid="{00000000-0010-0000-0600-00000B000000}" name="Internal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riticalItemsTable" displayName="CriticalItemsTable" ref="A3:Q22">
  <tableColumns count="17">
    <tableColumn id="1" xr3:uid="{00000000-0010-0000-0700-000001000000}" name="CriticalItemID"/>
    <tableColumn id="2" xr3:uid="{00000000-0010-0000-0700-000002000000}" name="ItemTitle"/>
    <tableColumn id="3" xr3:uid="{00000000-0010-0000-0700-000003000000}" name="ItemDescription"/>
    <tableColumn id="4" xr3:uid="{00000000-0010-0000-0700-000004000000}" name="Severity"/>
    <tableColumn id="5" xr3:uid="{00000000-0010-0000-0700-000005000000}" name="Status"/>
    <tableColumn id="6" xr3:uid="{00000000-0010-0000-0700-000006000000}" name="Owner"/>
    <tableColumn id="7" xr3:uid="{00000000-0010-0000-0700-000007000000}" name="LinkedReviewID"/>
    <tableColumn id="8" xr3:uid="{00000000-0010-0000-0700-000008000000}" name="LinkedPhase"/>
    <tableColumn id="9" xr3:uid="{00000000-0010-0000-0700-000009000000}" name="Impact"/>
    <tableColumn id="10" xr3:uid="{00000000-0010-0000-0700-00000A000000}" name="Mitigation"/>
    <tableColumn id="11" xr3:uid="{00000000-0010-0000-0700-00000B000000}" name="DueDate"/>
    <tableColumn id="12" xr3:uid="{00000000-0010-0000-0700-00000C000000}" name="Source"/>
    <tableColumn id="13" xr3:uid="{00000000-0010-0000-0700-00000D000000}" name="SourceDate"/>
    <tableColumn id="14" xr3:uid="{00000000-0010-0000-0700-00000E000000}" name="DisplayInHTML"/>
    <tableColumn id="15" xr3:uid="{00000000-0010-0000-0700-00000F000000}" name="DisplayOrder"/>
    <tableColumn id="16" xr3:uid="{00000000-0010-0000-0700-000010000000}" name="LastUpdated"/>
    <tableColumn id="17" xr3:uid="{00000000-0010-0000-0700-000011000000}" name="Internal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ResourcesTable" displayName="ResourcesTable" ref="A3:M17">
  <tableColumns count="13">
    <tableColumn id="1" xr3:uid="{00000000-0010-0000-0800-000001000000}" name="ResourceID"/>
    <tableColumn id="2" xr3:uid="{00000000-0010-0000-0800-000002000000}" name="ResourceName"/>
    <tableColumn id="3" xr3:uid="{00000000-0010-0000-0800-000003000000}" name="Description"/>
    <tableColumn id="4" xr3:uid="{00000000-0010-0000-0800-000004000000}" name="ResourceType"/>
    <tableColumn id="5" xr3:uid="{00000000-0010-0000-0800-000005000000}" name="URL"/>
    <tableColumn id="6" xr3:uid="{00000000-0010-0000-0800-000006000000}" name="Owner"/>
    <tableColumn id="7" xr3:uid="{00000000-0010-0000-0800-000007000000}" name="LinkedPhase"/>
    <tableColumn id="8" xr3:uid="{00000000-0010-0000-0800-000008000000}" name="LinkedReviewID"/>
    <tableColumn id="9" xr3:uid="{00000000-0010-0000-0800-000009000000}" name="Status"/>
    <tableColumn id="10" xr3:uid="{00000000-0010-0000-0800-00000A000000}" name="DisplayInHTML"/>
    <tableColumn id="11" xr3:uid="{00000000-0010-0000-0800-00000B000000}" name="DisplayOrder"/>
    <tableColumn id="12" xr3:uid="{00000000-0010-0000-0800-00000C000000}" name="LastUpdated"/>
    <tableColumn id="13" xr3:uid="{00000000-0010-0000-0800-00000D000000}" name="Internal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UpcomingMeetingsTable" displayName="UpcomingMeetingsTable" ref="A3:P20">
  <tableColumns count="16">
    <tableColumn id="1" xr3:uid="{00000000-0010-0000-0900-000001000000}" name="MeetingID"/>
    <tableColumn id="2" xr3:uid="{00000000-0010-0000-0900-000002000000}" name="Date"/>
    <tableColumn id="3" xr3:uid="{00000000-0010-0000-0900-000003000000}" name="ETTime"/>
    <tableColumn id="4" xr3:uid="{00000000-0010-0000-0900-000004000000}" name="UKTime"/>
    <tableColumn id="5" xr3:uid="{00000000-0010-0000-0900-000005000000}" name="Title"/>
    <tableColumn id="6" xr3:uid="{00000000-0010-0000-0900-000006000000}" name="Agenda"/>
    <tableColumn id="7" xr3:uid="{00000000-0010-0000-0900-000007000000}" name="Attendees"/>
    <tableColumn id="8" xr3:uid="{00000000-0010-0000-0900-000008000000}" name="Owner"/>
    <tableColumn id="9" xr3:uid="{00000000-0010-0000-0900-000009000000}" name="Status"/>
    <tableColumn id="10" xr3:uid="{00000000-0010-0000-0900-00000A000000}" name="LinkedReviewID"/>
    <tableColumn id="11" xr3:uid="{00000000-0010-0000-0900-00000B000000}" name="LinkedPhase"/>
    <tableColumn id="12" xr3:uid="{00000000-0010-0000-0900-00000C000000}" name="MeetingLink"/>
    <tableColumn id="13" xr3:uid="{00000000-0010-0000-0900-00000D000000}" name="DisplayInHTML"/>
    <tableColumn id="14" xr3:uid="{00000000-0010-0000-0900-00000E000000}" name="DisplayOrder"/>
    <tableColumn id="15" xr3:uid="{00000000-0010-0000-0900-00000F000000}" name="LastUpdated"/>
    <tableColumn id="16" xr3:uid="{00000000-0010-0000-0900-000010000000}" name="Internal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tageProgressTable" displayName="StageProgressTable" ref="A3:L63">
  <tableColumns count="12">
    <tableColumn id="1" xr3:uid="{00000000-0010-0000-0A00-000001000000}" name="ReviewID"/>
    <tableColumn id="2" xr3:uid="{00000000-0010-0000-0A00-000002000000}" name="StageName"/>
    <tableColumn id="3" xr3:uid="{00000000-0010-0000-0A00-000003000000}" name="HumanProgress"/>
    <tableColumn id="4" xr3:uid="{00000000-0010-0000-0A00-000004000000}" name="AIProgress"/>
    <tableColumn id="5" xr3:uid="{00000000-0010-0000-0A00-000005000000}" name="Status"/>
    <tableColumn id="6" xr3:uid="{00000000-0010-0000-0A00-000006000000}" name="Owner"/>
    <tableColumn id="7" xr3:uid="{00000000-0010-0000-0A00-000007000000}" name="TargetDate"/>
    <tableColumn id="8" xr3:uid="{00000000-0010-0000-0A00-000008000000}" name="Notes"/>
    <tableColumn id="9" xr3:uid="{00000000-0010-0000-0A00-000009000000}" name="DisplayInHTML"/>
    <tableColumn id="10" xr3:uid="{F66B713C-ECB5-4CDE-9A72-2563BBE77767}" name="DisplayOrder"/>
    <tableColumn id="11" xr3:uid="{39D8BD43-F696-4CF9-9C71-3BCBB9AFF950}" name="LastUpdated" dataDxfId="56"/>
    <tableColumn id="12" xr3:uid="{AF59A9D7-2388-4F9D-A947-97156E39E311}" name="Internal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ashboardSummaryTable" displayName="DashboardSummaryTable" ref="A3:C20">
  <tableColumns count="3">
    <tableColumn id="1" xr3:uid="{00000000-0010-0000-0B00-000001000000}" name="Metric"/>
    <tableColumn id="2" xr3:uid="{00000000-0010-0000-0B00-000002000000}" name="Formula / Value"/>
    <tableColumn id="3" xr3:uid="{00000000-0010-0000-0B00-00000300000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Review-teams-onboarding_kickoff-combo.key.pdf?csf=1&amp;web=1&amp;e=3fpXvx" TargetMode="External"/><Relationship Id="rId2" Type="http://schemas.openxmlformats.org/officeDocument/2006/relationships/hyperlink" Target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CESAR-protocol-0526-OSF.pdf?csf=1&amp;web=1&amp;e=HDfaea" TargetMode="External"/><Relationship Id="rId1" Type="http://schemas.openxmlformats.org/officeDocument/2006/relationships/hyperlink" Target="https://cochranecollaboration.sharepoint.com/:f:/r/sites/EPM-EPRI/Shared%20Documents/AI%20Methods%20Group%20(Shared%20folder)/2026_AI%20platform%20study%20(Shared%20folder)/AI%20Pilot_Reviews/0%20Info%20Sharing%20with%20Review%20Teams%20(External)/General%20Information?csf=1&amp;web=1&amp;e=3ggmcN" TargetMode="External"/><Relationship Id="rId6" Type="http://schemas.openxmlformats.org/officeDocument/2006/relationships/table" Target="../tables/table9.xml"/><Relationship Id="rId5" Type="http://schemas.openxmlformats.org/officeDocument/2006/relationships/hyperlink" Target="https://cochranecollaboration.sharepoint.com/:f:/r/sites/EPM-EPRI/Shared%20Documents/AI%20Methods%20Group%20(Shared%20folder)/2026_AI%20platform%20study%20(Shared%20folder)/Adjudication%20and%20Data%20Monitoring%20Committee%20(ADMC)?csf=1&amp;web=1&amp;e=k3SstX" TargetMode="External"/><Relationship Id="rId4" Type="http://schemas.openxmlformats.org/officeDocument/2006/relationships/hyperlink" Target="https://cochranecollaboration.sharepoint.com/:x:/r/sites/EPM-EPRI/Shared%20Documents/AI%20Methods%20Group%20(Shared%20folder)/2026_AI%20platform%20study%20(Shared%20folder)/AI%20Pilot_Reviews/0%20Info%20Sharing%20with%20Review%20Teams%20(External)/General%20Information/00_Review%20Teams_Index%20Sheet.xlsx?d=w586bb761a443432fa57075693a0c1ed1&amp;csf=1&amp;web=1&amp;e=Yzscnq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B14" sqref="B14"/>
    </sheetView>
  </sheetViews>
  <sheetFormatPr defaultRowHeight="14"/>
  <cols>
    <col min="1" max="1" width="28" customWidth="1"/>
    <col min="2" max="2" width="100" customWidth="1"/>
  </cols>
  <sheetData>
    <row r="1" spans="1:8" ht="20">
      <c r="A1" s="7" t="s">
        <v>0</v>
      </c>
      <c r="B1" s="8"/>
      <c r="C1" s="8"/>
      <c r="D1" s="8"/>
      <c r="E1" s="8"/>
      <c r="F1" s="8"/>
      <c r="G1" s="8"/>
      <c r="H1" s="8"/>
    </row>
    <row r="3" spans="1:8" ht="28">
      <c r="A3" s="3" t="s">
        <v>1</v>
      </c>
      <c r="B3" s="2" t="s">
        <v>2</v>
      </c>
    </row>
    <row r="4" spans="1:8" ht="28">
      <c r="A4" s="3" t="s">
        <v>3</v>
      </c>
      <c r="B4" s="2" t="s">
        <v>4</v>
      </c>
    </row>
    <row r="5" spans="1:8">
      <c r="A5" s="3" t="s">
        <v>5</v>
      </c>
      <c r="B5" s="2" t="s">
        <v>6</v>
      </c>
    </row>
    <row r="6" spans="1:8" ht="28">
      <c r="A6" s="3" t="s">
        <v>7</v>
      </c>
      <c r="B6" s="2" t="s">
        <v>8</v>
      </c>
    </row>
    <row r="7" spans="1:8" ht="28">
      <c r="A7" s="3" t="s">
        <v>9</v>
      </c>
      <c r="B7" s="2" t="s">
        <v>10</v>
      </c>
    </row>
    <row r="8" spans="1:8">
      <c r="A8" s="3" t="s">
        <v>11</v>
      </c>
      <c r="B8" s="2" t="s">
        <v>12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0"/>
  <sheetViews>
    <sheetView workbookViewId="0">
      <selection activeCell="C30" sqref="C30"/>
    </sheetView>
  </sheetViews>
  <sheetFormatPr defaultRowHeight="14"/>
  <cols>
    <col min="1" max="2" width="16" customWidth="1"/>
    <col min="3" max="3" width="38" customWidth="1"/>
    <col min="4" max="4" width="14" customWidth="1"/>
    <col min="5" max="5" width="38" customWidth="1"/>
  </cols>
  <sheetData>
    <row r="1" spans="1:5" ht="20">
      <c r="A1" s="7" t="s">
        <v>13</v>
      </c>
      <c r="B1" s="8"/>
      <c r="C1" s="8"/>
      <c r="D1" s="8"/>
      <c r="E1" s="8"/>
    </row>
    <row r="3" spans="1: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</row>
    <row r="4" spans="1:5" ht="28">
      <c r="A4" s="2" t="s">
        <v>19</v>
      </c>
      <c r="B4" s="2" t="s">
        <v>20</v>
      </c>
      <c r="C4" s="2" t="s">
        <v>21</v>
      </c>
      <c r="D4" s="4">
        <v>46156</v>
      </c>
      <c r="E4" s="2"/>
    </row>
    <row r="5" spans="1:5" ht="42">
      <c r="A5" s="2" t="s">
        <v>22</v>
      </c>
      <c r="B5" s="2" t="s">
        <v>23</v>
      </c>
      <c r="C5" s="2" t="s">
        <v>24</v>
      </c>
      <c r="D5" s="4">
        <v>46156</v>
      </c>
      <c r="E5" s="2"/>
    </row>
    <row r="6" spans="1:5">
      <c r="A6" s="2" t="s">
        <v>17</v>
      </c>
      <c r="B6" s="2" t="s">
        <v>25</v>
      </c>
      <c r="C6" s="2" t="s">
        <v>26</v>
      </c>
      <c r="D6" s="4">
        <v>46156</v>
      </c>
      <c r="E6" s="2"/>
    </row>
    <row r="7" spans="1:5">
      <c r="A7" s="2" t="s">
        <v>27</v>
      </c>
      <c r="B7" s="2" t="s">
        <v>28</v>
      </c>
      <c r="C7" s="2" t="s">
        <v>29</v>
      </c>
      <c r="D7" s="4">
        <v>46156</v>
      </c>
      <c r="E7" s="2"/>
    </row>
    <row r="8" spans="1:5">
      <c r="A8" s="2"/>
      <c r="B8" s="2"/>
      <c r="C8" s="2"/>
      <c r="D8" s="4"/>
      <c r="E8" s="2"/>
    </row>
    <row r="9" spans="1:5">
      <c r="A9" s="2"/>
      <c r="B9" s="2"/>
      <c r="C9" s="2"/>
      <c r="D9" s="4"/>
      <c r="E9" s="2"/>
    </row>
    <row r="10" spans="1:5">
      <c r="A10" s="2"/>
      <c r="B10" s="2"/>
      <c r="C10" s="2"/>
      <c r="D10" s="4"/>
      <c r="E10" s="2"/>
    </row>
    <row r="11" spans="1:5">
      <c r="A11" s="2"/>
      <c r="B11" s="2"/>
      <c r="C11" s="2"/>
      <c r="D11" s="4"/>
      <c r="E11" s="2"/>
    </row>
    <row r="12" spans="1:5">
      <c r="A12" s="2"/>
      <c r="B12" s="2"/>
      <c r="C12" s="2"/>
      <c r="D12" s="4"/>
      <c r="E12" s="2"/>
    </row>
    <row r="13" spans="1:5">
      <c r="A13" s="2"/>
      <c r="B13" s="2"/>
      <c r="C13" s="2"/>
      <c r="D13" s="4"/>
      <c r="E13" s="2"/>
    </row>
    <row r="14" spans="1:5">
      <c r="A14" s="2"/>
      <c r="B14" s="2"/>
      <c r="C14" s="2"/>
      <c r="D14" s="4"/>
      <c r="E14" s="2"/>
    </row>
    <row r="15" spans="1:5">
      <c r="A15" s="2"/>
      <c r="B15" s="2"/>
      <c r="C15" s="2"/>
      <c r="D15" s="4"/>
      <c r="E15" s="2"/>
    </row>
    <row r="16" spans="1:5">
      <c r="A16" s="2"/>
      <c r="B16" s="2"/>
      <c r="C16" s="2"/>
      <c r="D16" s="4"/>
      <c r="E16" s="2"/>
    </row>
    <row r="17" spans="1:5">
      <c r="A17" s="2"/>
      <c r="B17" s="2"/>
      <c r="C17" s="2"/>
      <c r="D17" s="4"/>
      <c r="E17" s="2"/>
    </row>
    <row r="18" spans="1:5">
      <c r="A18" s="2"/>
      <c r="B18" s="2"/>
      <c r="C18" s="2"/>
      <c r="D18" s="4"/>
      <c r="E18" s="2"/>
    </row>
    <row r="19" spans="1:5">
      <c r="A19" s="2"/>
      <c r="B19" s="2"/>
      <c r="C19" s="2"/>
      <c r="D19" s="4"/>
      <c r="E19" s="2"/>
    </row>
    <row r="20" spans="1:5">
      <c r="A20" s="2"/>
      <c r="B20" s="2"/>
      <c r="C20" s="2"/>
      <c r="D20" s="4"/>
      <c r="E20" s="2"/>
    </row>
    <row r="21" spans="1:5">
      <c r="A21" s="2"/>
      <c r="B21" s="2"/>
      <c r="C21" s="2"/>
      <c r="D21" s="4"/>
      <c r="E21" s="2"/>
    </row>
    <row r="22" spans="1:5">
      <c r="A22" s="2"/>
      <c r="B22" s="2"/>
      <c r="C22" s="2"/>
      <c r="D22" s="4"/>
      <c r="E22" s="2"/>
    </row>
    <row r="23" spans="1:5">
      <c r="A23" s="2"/>
      <c r="B23" s="2"/>
      <c r="C23" s="2"/>
      <c r="D23" s="4"/>
      <c r="E23" s="2"/>
    </row>
    <row r="24" spans="1:5">
      <c r="A24" s="2"/>
      <c r="B24" s="2"/>
      <c r="C24" s="2"/>
      <c r="D24" s="4"/>
      <c r="E24" s="2"/>
    </row>
    <row r="25" spans="1:5">
      <c r="A25" s="2"/>
      <c r="B25" s="2"/>
      <c r="C25" s="2"/>
      <c r="D25" s="4"/>
      <c r="E25" s="2"/>
    </row>
    <row r="26" spans="1:5">
      <c r="A26" s="2"/>
      <c r="B26" s="2"/>
      <c r="C26" s="2"/>
      <c r="D26" s="4"/>
      <c r="E26" s="2"/>
    </row>
    <row r="27" spans="1:5">
      <c r="A27" s="2"/>
      <c r="B27" s="2"/>
      <c r="C27" s="2"/>
      <c r="D27" s="4"/>
      <c r="E27" s="2"/>
    </row>
    <row r="28" spans="1:5">
      <c r="A28" s="2"/>
      <c r="B28" s="2"/>
      <c r="C28" s="2"/>
      <c r="D28" s="4"/>
      <c r="E28" s="2"/>
    </row>
    <row r="29" spans="1:5">
      <c r="A29" s="2"/>
      <c r="B29" s="2"/>
      <c r="C29" s="2"/>
      <c r="D29" s="4"/>
      <c r="E29" s="2"/>
    </row>
    <row r="30" spans="1:5">
      <c r="A30" s="2"/>
      <c r="B30" s="2"/>
      <c r="C30" s="2"/>
      <c r="D30" s="4"/>
      <c r="E30" s="2"/>
    </row>
    <row r="31" spans="1:5">
      <c r="A31" s="2"/>
      <c r="B31" s="2"/>
      <c r="C31" s="2"/>
      <c r="D31" s="4"/>
      <c r="E31" s="2"/>
    </row>
    <row r="32" spans="1:5">
      <c r="A32" s="2"/>
      <c r="B32" s="2"/>
      <c r="C32" s="2"/>
      <c r="D32" s="4"/>
      <c r="E32" s="2"/>
    </row>
    <row r="33" spans="1:5">
      <c r="A33" s="2"/>
      <c r="B33" s="2"/>
      <c r="C33" s="2"/>
      <c r="D33" s="4"/>
      <c r="E33" s="2"/>
    </row>
    <row r="34" spans="1:5">
      <c r="A34" s="2"/>
      <c r="B34" s="2"/>
      <c r="C34" s="2"/>
      <c r="D34" s="4"/>
      <c r="E34" s="2"/>
    </row>
    <row r="35" spans="1:5">
      <c r="A35" s="2"/>
      <c r="B35" s="2"/>
      <c r="C35" s="2"/>
      <c r="D35" s="4"/>
      <c r="E35" s="2"/>
    </row>
    <row r="36" spans="1:5">
      <c r="A36" s="2"/>
      <c r="B36" s="2"/>
      <c r="C36" s="2"/>
      <c r="D36" s="4"/>
      <c r="E36" s="2"/>
    </row>
    <row r="37" spans="1:5">
      <c r="A37" s="2"/>
      <c r="B37" s="2"/>
      <c r="C37" s="2"/>
      <c r="D37" s="4"/>
      <c r="E37" s="2"/>
    </row>
    <row r="38" spans="1:5">
      <c r="A38" s="2"/>
      <c r="B38" s="2"/>
      <c r="C38" s="2"/>
      <c r="D38" s="4"/>
      <c r="E38" s="2"/>
    </row>
    <row r="39" spans="1:5">
      <c r="A39" s="2"/>
      <c r="B39" s="2"/>
      <c r="C39" s="2"/>
      <c r="D39" s="4"/>
      <c r="E39" s="2"/>
    </row>
    <row r="40" spans="1:5">
      <c r="A40" s="2"/>
      <c r="B40" s="2"/>
      <c r="C40" s="2"/>
      <c r="D40" s="4"/>
      <c r="E40" s="2"/>
    </row>
    <row r="41" spans="1:5">
      <c r="A41" s="2"/>
      <c r="B41" s="2"/>
      <c r="C41" s="2"/>
      <c r="D41" s="4"/>
      <c r="E41" s="2"/>
    </row>
    <row r="42" spans="1:5">
      <c r="A42" s="2"/>
      <c r="B42" s="2"/>
      <c r="C42" s="2"/>
      <c r="D42" s="4"/>
      <c r="E42" s="2"/>
    </row>
    <row r="43" spans="1:5">
      <c r="A43" s="2"/>
      <c r="B43" s="2"/>
      <c r="C43" s="2"/>
      <c r="D43" s="4"/>
      <c r="E43" s="2"/>
    </row>
    <row r="44" spans="1:5">
      <c r="A44" s="2"/>
      <c r="B44" s="2"/>
      <c r="C44" s="2"/>
      <c r="D44" s="4"/>
      <c r="E44" s="2"/>
    </row>
    <row r="45" spans="1:5">
      <c r="A45" s="2"/>
      <c r="B45" s="2"/>
      <c r="C45" s="2"/>
      <c r="D45" s="4"/>
      <c r="E45" s="2"/>
    </row>
    <row r="46" spans="1:5">
      <c r="A46" s="2"/>
      <c r="B46" s="2"/>
      <c r="C46" s="2"/>
      <c r="D46" s="4"/>
      <c r="E46" s="2"/>
    </row>
    <row r="47" spans="1:5">
      <c r="A47" s="2"/>
      <c r="B47" s="2"/>
      <c r="C47" s="2"/>
      <c r="D47" s="4"/>
      <c r="E47" s="2"/>
    </row>
    <row r="48" spans="1:5">
      <c r="A48" s="2"/>
      <c r="B48" s="2"/>
      <c r="C48" s="2"/>
      <c r="D48" s="4"/>
      <c r="E48" s="2"/>
    </row>
    <row r="49" spans="1:5">
      <c r="A49" s="2"/>
      <c r="B49" s="2"/>
      <c r="C49" s="2"/>
      <c r="D49" s="4"/>
      <c r="E49" s="2"/>
    </row>
    <row r="50" spans="1:5">
      <c r="A50" s="2"/>
      <c r="B50" s="2"/>
      <c r="C50" s="2"/>
      <c r="D50" s="4"/>
      <c r="E50" s="2"/>
    </row>
    <row r="51" spans="1:5">
      <c r="A51" s="2"/>
      <c r="B51" s="2"/>
      <c r="C51" s="2"/>
      <c r="D51" s="4"/>
      <c r="E51" s="2"/>
    </row>
    <row r="52" spans="1:5">
      <c r="A52" s="2"/>
      <c r="B52" s="2"/>
      <c r="C52" s="2"/>
      <c r="D52" s="4"/>
      <c r="E52" s="2"/>
    </row>
    <row r="53" spans="1:5">
      <c r="A53" s="2"/>
      <c r="B53" s="2"/>
      <c r="C53" s="2"/>
      <c r="D53" s="4"/>
      <c r="E53" s="2"/>
    </row>
    <row r="54" spans="1:5">
      <c r="D54" s="5"/>
    </row>
    <row r="55" spans="1:5">
      <c r="D55" s="5"/>
    </row>
    <row r="56" spans="1:5">
      <c r="D56" s="5"/>
    </row>
    <row r="57" spans="1:5">
      <c r="D57" s="5"/>
    </row>
    <row r="58" spans="1:5">
      <c r="D58" s="5"/>
    </row>
    <row r="59" spans="1:5">
      <c r="D59" s="5"/>
    </row>
    <row r="60" spans="1:5">
      <c r="D60" s="5"/>
    </row>
    <row r="61" spans="1:5">
      <c r="D61" s="5"/>
    </row>
    <row r="62" spans="1:5">
      <c r="D62" s="5"/>
    </row>
    <row r="63" spans="1:5">
      <c r="D63" s="5"/>
    </row>
    <row r="64" spans="1:5">
      <c r="D64" s="5"/>
    </row>
    <row r="65" spans="4:4">
      <c r="D65" s="5"/>
    </row>
    <row r="66" spans="4:4">
      <c r="D66" s="5"/>
    </row>
    <row r="67" spans="4:4">
      <c r="D67" s="5"/>
    </row>
    <row r="68" spans="4:4">
      <c r="D68" s="5"/>
    </row>
    <row r="69" spans="4:4">
      <c r="D69" s="5"/>
    </row>
    <row r="70" spans="4:4">
      <c r="D70" s="5"/>
    </row>
    <row r="71" spans="4:4">
      <c r="D71" s="5"/>
    </row>
    <row r="72" spans="4:4">
      <c r="D72" s="5"/>
    </row>
    <row r="73" spans="4:4">
      <c r="D73" s="5"/>
    </row>
    <row r="74" spans="4:4">
      <c r="D74" s="5"/>
    </row>
    <row r="75" spans="4:4">
      <c r="D75" s="5"/>
    </row>
    <row r="76" spans="4:4">
      <c r="D76" s="5"/>
    </row>
    <row r="77" spans="4:4">
      <c r="D77" s="5"/>
    </row>
    <row r="78" spans="4:4">
      <c r="D78" s="5"/>
    </row>
    <row r="79" spans="4:4">
      <c r="D79" s="5"/>
    </row>
    <row r="80" spans="4:4">
      <c r="D80" s="5"/>
    </row>
    <row r="81" spans="4:4">
      <c r="D81" s="5"/>
    </row>
    <row r="82" spans="4:4">
      <c r="D82" s="5"/>
    </row>
    <row r="83" spans="4:4">
      <c r="D83" s="5"/>
    </row>
    <row r="84" spans="4:4">
      <c r="D84" s="5"/>
    </row>
    <row r="85" spans="4:4">
      <c r="D85" s="5"/>
    </row>
    <row r="86" spans="4:4">
      <c r="D86" s="5"/>
    </row>
    <row r="87" spans="4:4">
      <c r="D87" s="5"/>
    </row>
    <row r="88" spans="4:4">
      <c r="D88" s="5"/>
    </row>
    <row r="89" spans="4:4">
      <c r="D89" s="5"/>
    </row>
    <row r="90" spans="4:4">
      <c r="D90" s="5"/>
    </row>
    <row r="91" spans="4:4">
      <c r="D91" s="5"/>
    </row>
    <row r="92" spans="4:4">
      <c r="D92" s="5"/>
    </row>
    <row r="93" spans="4:4">
      <c r="D93" s="5"/>
    </row>
    <row r="94" spans="4:4">
      <c r="D94" s="5"/>
    </row>
    <row r="95" spans="4:4">
      <c r="D95" s="5"/>
    </row>
    <row r="96" spans="4:4">
      <c r="D96" s="5"/>
    </row>
    <row r="97" spans="4:4">
      <c r="D97" s="5"/>
    </row>
    <row r="98" spans="4:4">
      <c r="D98" s="5"/>
    </row>
    <row r="99" spans="4:4">
      <c r="D99" s="5"/>
    </row>
    <row r="100" spans="4:4">
      <c r="D100" s="5"/>
    </row>
    <row r="101" spans="4:4">
      <c r="D101" s="5"/>
    </row>
    <row r="102" spans="4:4">
      <c r="D102" s="5"/>
    </row>
    <row r="103" spans="4:4">
      <c r="D103" s="5"/>
    </row>
    <row r="104" spans="4:4">
      <c r="D104" s="5"/>
    </row>
    <row r="105" spans="4:4">
      <c r="D105" s="5"/>
    </row>
    <row r="106" spans="4:4">
      <c r="D106" s="5"/>
    </row>
    <row r="107" spans="4:4">
      <c r="D107" s="5"/>
    </row>
    <row r="108" spans="4:4">
      <c r="D108" s="5"/>
    </row>
    <row r="109" spans="4:4">
      <c r="D109" s="5"/>
    </row>
    <row r="110" spans="4:4">
      <c r="D110" s="5"/>
    </row>
    <row r="111" spans="4:4">
      <c r="D111" s="5"/>
    </row>
    <row r="112" spans="4:4">
      <c r="D112" s="5"/>
    </row>
    <row r="113" spans="4:4">
      <c r="D113" s="5"/>
    </row>
    <row r="114" spans="4:4">
      <c r="D114" s="5"/>
    </row>
    <row r="115" spans="4:4">
      <c r="D115" s="5"/>
    </row>
    <row r="116" spans="4:4">
      <c r="D116" s="5"/>
    </row>
    <row r="117" spans="4:4">
      <c r="D117" s="5"/>
    </row>
    <row r="118" spans="4:4">
      <c r="D118" s="5"/>
    </row>
    <row r="119" spans="4:4">
      <c r="D119" s="5"/>
    </row>
    <row r="120" spans="4:4">
      <c r="D120" s="5"/>
    </row>
    <row r="121" spans="4:4">
      <c r="D121" s="5"/>
    </row>
    <row r="122" spans="4:4">
      <c r="D122" s="5"/>
    </row>
    <row r="123" spans="4:4">
      <c r="D123" s="5"/>
    </row>
    <row r="124" spans="4:4">
      <c r="D124" s="5"/>
    </row>
    <row r="125" spans="4:4">
      <c r="D125" s="5"/>
    </row>
    <row r="126" spans="4:4">
      <c r="D126" s="5"/>
    </row>
    <row r="127" spans="4:4">
      <c r="D127" s="5"/>
    </row>
    <row r="128" spans="4:4">
      <c r="D128" s="5"/>
    </row>
    <row r="129" spans="4:4">
      <c r="D129" s="5"/>
    </row>
    <row r="130" spans="4:4">
      <c r="D130" s="5"/>
    </row>
    <row r="131" spans="4:4">
      <c r="D131" s="5"/>
    </row>
    <row r="132" spans="4:4">
      <c r="D132" s="5"/>
    </row>
    <row r="133" spans="4:4">
      <c r="D133" s="5"/>
    </row>
    <row r="134" spans="4:4">
      <c r="D134" s="5"/>
    </row>
    <row r="135" spans="4:4">
      <c r="D135" s="5"/>
    </row>
    <row r="136" spans="4:4">
      <c r="D136" s="5"/>
    </row>
    <row r="137" spans="4:4">
      <c r="D137" s="5"/>
    </row>
    <row r="138" spans="4:4">
      <c r="D138" s="5"/>
    </row>
    <row r="139" spans="4:4">
      <c r="D139" s="5"/>
    </row>
    <row r="140" spans="4:4">
      <c r="D140" s="5"/>
    </row>
    <row r="141" spans="4:4">
      <c r="D141" s="5"/>
    </row>
    <row r="142" spans="4:4">
      <c r="D142" s="5"/>
    </row>
    <row r="143" spans="4:4">
      <c r="D143" s="5"/>
    </row>
    <row r="144" spans="4:4">
      <c r="D144" s="5"/>
    </row>
    <row r="145" spans="4:4">
      <c r="D145" s="5"/>
    </row>
    <row r="146" spans="4:4">
      <c r="D146" s="5"/>
    </row>
    <row r="147" spans="4:4">
      <c r="D147" s="5"/>
    </row>
    <row r="148" spans="4:4">
      <c r="D148" s="5"/>
    </row>
    <row r="149" spans="4:4">
      <c r="D149" s="5"/>
    </row>
    <row r="150" spans="4:4">
      <c r="D150" s="5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  <row r="218" spans="4:4">
      <c r="D218" s="5"/>
    </row>
    <row r="219" spans="4:4">
      <c r="D219" s="5"/>
    </row>
    <row r="220" spans="4:4">
      <c r="D220" s="5"/>
    </row>
    <row r="221" spans="4:4">
      <c r="D221" s="5"/>
    </row>
    <row r="222" spans="4:4">
      <c r="D222" s="5"/>
    </row>
    <row r="223" spans="4:4">
      <c r="D223" s="5"/>
    </row>
    <row r="224" spans="4:4">
      <c r="D224" s="5"/>
    </row>
    <row r="225" spans="4:4">
      <c r="D225" s="5"/>
    </row>
    <row r="226" spans="4:4">
      <c r="D226" s="5"/>
    </row>
    <row r="227" spans="4:4">
      <c r="D227" s="5"/>
    </row>
    <row r="228" spans="4:4">
      <c r="D228" s="5"/>
    </row>
    <row r="229" spans="4:4">
      <c r="D229" s="5"/>
    </row>
    <row r="230" spans="4:4">
      <c r="D230" s="5"/>
    </row>
    <row r="231" spans="4:4">
      <c r="D231" s="5"/>
    </row>
    <row r="232" spans="4:4">
      <c r="D232" s="5"/>
    </row>
    <row r="233" spans="4:4">
      <c r="D233" s="5"/>
    </row>
    <row r="234" spans="4:4">
      <c r="D234" s="5"/>
    </row>
    <row r="235" spans="4:4">
      <c r="D235" s="5"/>
    </row>
    <row r="236" spans="4:4">
      <c r="D236" s="5"/>
    </row>
    <row r="237" spans="4:4">
      <c r="D237" s="5"/>
    </row>
    <row r="238" spans="4:4">
      <c r="D238" s="5"/>
    </row>
    <row r="239" spans="4:4">
      <c r="D239" s="5"/>
    </row>
    <row r="240" spans="4:4">
      <c r="D240" s="5"/>
    </row>
    <row r="241" spans="4:4">
      <c r="D241" s="5"/>
    </row>
    <row r="242" spans="4:4">
      <c r="D242" s="5"/>
    </row>
    <row r="243" spans="4:4">
      <c r="D243" s="5"/>
    </row>
    <row r="244" spans="4:4">
      <c r="D244" s="5"/>
    </row>
    <row r="245" spans="4:4">
      <c r="D245" s="5"/>
    </row>
    <row r="246" spans="4:4">
      <c r="D246" s="5"/>
    </row>
    <row r="247" spans="4:4">
      <c r="D247" s="5"/>
    </row>
    <row r="248" spans="4:4">
      <c r="D248" s="5"/>
    </row>
    <row r="249" spans="4:4">
      <c r="D249" s="5"/>
    </row>
    <row r="250" spans="4:4">
      <c r="D250" s="5"/>
    </row>
    <row r="251" spans="4:4">
      <c r="D251" s="5"/>
    </row>
    <row r="252" spans="4:4">
      <c r="D252" s="5"/>
    </row>
    <row r="253" spans="4:4">
      <c r="D253" s="5"/>
    </row>
    <row r="254" spans="4:4">
      <c r="D254" s="5"/>
    </row>
    <row r="255" spans="4:4">
      <c r="D255" s="5"/>
    </row>
    <row r="256" spans="4:4">
      <c r="D256" s="5"/>
    </row>
    <row r="257" spans="4:4">
      <c r="D257" s="5"/>
    </row>
    <row r="258" spans="4:4">
      <c r="D258" s="5"/>
    </row>
    <row r="259" spans="4:4">
      <c r="D259" s="5"/>
    </row>
    <row r="260" spans="4:4">
      <c r="D260" s="5"/>
    </row>
    <row r="261" spans="4:4">
      <c r="D261" s="5"/>
    </row>
    <row r="262" spans="4:4">
      <c r="D262" s="5"/>
    </row>
    <row r="263" spans="4:4">
      <c r="D263" s="5"/>
    </row>
    <row r="264" spans="4:4">
      <c r="D264" s="5"/>
    </row>
    <row r="265" spans="4:4">
      <c r="D265" s="5"/>
    </row>
    <row r="266" spans="4:4">
      <c r="D266" s="5"/>
    </row>
    <row r="267" spans="4:4">
      <c r="D267" s="5"/>
    </row>
    <row r="268" spans="4:4">
      <c r="D268" s="5"/>
    </row>
    <row r="269" spans="4:4">
      <c r="D269" s="5"/>
    </row>
    <row r="270" spans="4:4">
      <c r="D270" s="5"/>
    </row>
    <row r="271" spans="4:4">
      <c r="D271" s="5"/>
    </row>
    <row r="272" spans="4:4">
      <c r="D272" s="5"/>
    </row>
    <row r="273" spans="4:4">
      <c r="D273" s="5"/>
    </row>
    <row r="274" spans="4:4">
      <c r="D274" s="5"/>
    </row>
    <row r="275" spans="4:4">
      <c r="D275" s="5"/>
    </row>
    <row r="276" spans="4:4">
      <c r="D276" s="5"/>
    </row>
    <row r="277" spans="4:4">
      <c r="D277" s="5"/>
    </row>
    <row r="278" spans="4:4">
      <c r="D278" s="5"/>
    </row>
    <row r="279" spans="4:4">
      <c r="D279" s="5"/>
    </row>
    <row r="280" spans="4:4">
      <c r="D280" s="5"/>
    </row>
    <row r="281" spans="4:4">
      <c r="D281" s="5"/>
    </row>
    <row r="282" spans="4:4">
      <c r="D282" s="5"/>
    </row>
    <row r="283" spans="4:4">
      <c r="D283" s="5"/>
    </row>
    <row r="284" spans="4:4">
      <c r="D284" s="5"/>
    </row>
    <row r="285" spans="4:4">
      <c r="D285" s="5"/>
    </row>
    <row r="286" spans="4:4">
      <c r="D286" s="5"/>
    </row>
    <row r="287" spans="4:4">
      <c r="D287" s="5"/>
    </row>
    <row r="288" spans="4:4">
      <c r="D288" s="5"/>
    </row>
    <row r="289" spans="4:4">
      <c r="D289" s="5"/>
    </row>
    <row r="290" spans="4:4">
      <c r="D290" s="5"/>
    </row>
    <row r="291" spans="4:4">
      <c r="D291" s="5"/>
    </row>
    <row r="292" spans="4:4">
      <c r="D292" s="5"/>
    </row>
    <row r="293" spans="4:4">
      <c r="D293" s="5"/>
    </row>
    <row r="294" spans="4:4">
      <c r="D294" s="5"/>
    </row>
    <row r="295" spans="4:4">
      <c r="D295" s="5"/>
    </row>
    <row r="296" spans="4:4">
      <c r="D296" s="5"/>
    </row>
    <row r="297" spans="4:4">
      <c r="D297" s="5"/>
    </row>
    <row r="298" spans="4:4">
      <c r="D298" s="5"/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  <row r="313" spans="4:4">
      <c r="D313" s="5"/>
    </row>
    <row r="314" spans="4:4">
      <c r="D314" s="5"/>
    </row>
    <row r="315" spans="4:4">
      <c r="D315" s="5"/>
    </row>
    <row r="316" spans="4:4">
      <c r="D316" s="5"/>
    </row>
    <row r="317" spans="4:4">
      <c r="D317" s="5"/>
    </row>
    <row r="318" spans="4:4">
      <c r="D318" s="5"/>
    </row>
    <row r="319" spans="4:4">
      <c r="D319" s="5"/>
    </row>
    <row r="320" spans="4:4">
      <c r="D320" s="5"/>
    </row>
    <row r="321" spans="4:4">
      <c r="D321" s="5"/>
    </row>
    <row r="322" spans="4:4">
      <c r="D322" s="5"/>
    </row>
    <row r="323" spans="4:4">
      <c r="D323" s="5"/>
    </row>
    <row r="324" spans="4:4">
      <c r="D324" s="5"/>
    </row>
    <row r="325" spans="4:4">
      <c r="D325" s="5"/>
    </row>
    <row r="326" spans="4:4">
      <c r="D326" s="5"/>
    </row>
    <row r="327" spans="4:4">
      <c r="D327" s="5"/>
    </row>
    <row r="328" spans="4:4">
      <c r="D328" s="5"/>
    </row>
    <row r="329" spans="4:4">
      <c r="D329" s="5"/>
    </row>
    <row r="330" spans="4:4">
      <c r="D330" s="5"/>
    </row>
    <row r="331" spans="4:4">
      <c r="D331" s="5"/>
    </row>
    <row r="332" spans="4:4">
      <c r="D332" s="5"/>
    </row>
    <row r="333" spans="4:4">
      <c r="D333" s="5"/>
    </row>
    <row r="334" spans="4:4">
      <c r="D334" s="5"/>
    </row>
    <row r="335" spans="4:4">
      <c r="D335" s="5"/>
    </row>
    <row r="336" spans="4:4">
      <c r="D336" s="5"/>
    </row>
    <row r="337" spans="4:4">
      <c r="D337" s="5"/>
    </row>
    <row r="338" spans="4:4">
      <c r="D338" s="5"/>
    </row>
    <row r="339" spans="4:4">
      <c r="D339" s="5"/>
    </row>
    <row r="340" spans="4:4">
      <c r="D340" s="5"/>
    </row>
    <row r="341" spans="4:4">
      <c r="D341" s="5"/>
    </row>
    <row r="342" spans="4:4">
      <c r="D342" s="5"/>
    </row>
    <row r="343" spans="4:4">
      <c r="D343" s="5"/>
    </row>
    <row r="344" spans="4:4">
      <c r="D344" s="5"/>
    </row>
    <row r="345" spans="4:4">
      <c r="D345" s="5"/>
    </row>
    <row r="346" spans="4:4">
      <c r="D346" s="5"/>
    </row>
    <row r="347" spans="4:4">
      <c r="D347" s="5"/>
    </row>
    <row r="348" spans="4:4">
      <c r="D348" s="5"/>
    </row>
    <row r="349" spans="4:4">
      <c r="D349" s="5"/>
    </row>
    <row r="350" spans="4:4">
      <c r="D350" s="5"/>
    </row>
    <row r="351" spans="4:4">
      <c r="D351" s="5"/>
    </row>
    <row r="352" spans="4:4">
      <c r="D352" s="5"/>
    </row>
    <row r="353" spans="4:4">
      <c r="D353" s="5"/>
    </row>
    <row r="354" spans="4:4">
      <c r="D354" s="5"/>
    </row>
    <row r="355" spans="4:4">
      <c r="D355" s="5"/>
    </row>
    <row r="356" spans="4:4">
      <c r="D356" s="5"/>
    </row>
    <row r="357" spans="4:4">
      <c r="D357" s="5"/>
    </row>
    <row r="358" spans="4:4">
      <c r="D358" s="5"/>
    </row>
    <row r="359" spans="4:4">
      <c r="D359" s="5"/>
    </row>
    <row r="360" spans="4:4">
      <c r="D360" s="5"/>
    </row>
    <row r="361" spans="4:4">
      <c r="D361" s="5"/>
    </row>
    <row r="362" spans="4:4">
      <c r="D362" s="5"/>
    </row>
    <row r="363" spans="4:4">
      <c r="D363" s="5"/>
    </row>
    <row r="364" spans="4:4">
      <c r="D364" s="5"/>
    </row>
    <row r="365" spans="4:4">
      <c r="D365" s="5"/>
    </row>
    <row r="366" spans="4:4">
      <c r="D366" s="5"/>
    </row>
    <row r="367" spans="4:4">
      <c r="D367" s="5"/>
    </row>
    <row r="368" spans="4:4">
      <c r="D368" s="5"/>
    </row>
    <row r="369" spans="4:4">
      <c r="D369" s="5"/>
    </row>
    <row r="370" spans="4:4">
      <c r="D370" s="5"/>
    </row>
    <row r="371" spans="4:4">
      <c r="D371" s="5"/>
    </row>
    <row r="372" spans="4:4">
      <c r="D372" s="5"/>
    </row>
    <row r="373" spans="4:4">
      <c r="D373" s="5"/>
    </row>
    <row r="374" spans="4:4">
      <c r="D374" s="5"/>
    </row>
    <row r="375" spans="4:4">
      <c r="D375" s="5"/>
    </row>
    <row r="376" spans="4:4">
      <c r="D376" s="5"/>
    </row>
    <row r="377" spans="4:4">
      <c r="D377" s="5"/>
    </row>
    <row r="378" spans="4:4">
      <c r="D378" s="5"/>
    </row>
    <row r="379" spans="4:4">
      <c r="D379" s="5"/>
    </row>
    <row r="380" spans="4:4">
      <c r="D380" s="5"/>
    </row>
    <row r="381" spans="4:4">
      <c r="D381" s="5"/>
    </row>
    <row r="382" spans="4:4">
      <c r="D382" s="5"/>
    </row>
    <row r="383" spans="4:4">
      <c r="D383" s="5"/>
    </row>
    <row r="384" spans="4:4">
      <c r="D384" s="5"/>
    </row>
    <row r="385" spans="4:4">
      <c r="D385" s="5"/>
    </row>
    <row r="386" spans="4:4">
      <c r="D386" s="5"/>
    </row>
    <row r="387" spans="4:4">
      <c r="D387" s="5"/>
    </row>
    <row r="388" spans="4:4">
      <c r="D388" s="5"/>
    </row>
    <row r="389" spans="4:4">
      <c r="D389" s="5"/>
    </row>
    <row r="390" spans="4:4">
      <c r="D390" s="5"/>
    </row>
    <row r="391" spans="4:4">
      <c r="D391" s="5"/>
    </row>
    <row r="392" spans="4:4">
      <c r="D392" s="5"/>
    </row>
    <row r="393" spans="4:4">
      <c r="D393" s="5"/>
    </row>
    <row r="394" spans="4:4">
      <c r="D394" s="5"/>
    </row>
    <row r="395" spans="4:4">
      <c r="D395" s="5"/>
    </row>
    <row r="396" spans="4:4">
      <c r="D396" s="5"/>
    </row>
    <row r="397" spans="4:4">
      <c r="D397" s="5"/>
    </row>
    <row r="398" spans="4:4">
      <c r="D398" s="5"/>
    </row>
    <row r="399" spans="4:4">
      <c r="D399" s="5"/>
    </row>
    <row r="400" spans="4:4">
      <c r="D400" s="5"/>
    </row>
    <row r="401" spans="4:4">
      <c r="D401" s="5"/>
    </row>
    <row r="402" spans="4:4">
      <c r="D402" s="5"/>
    </row>
    <row r="403" spans="4:4">
      <c r="D403" s="5"/>
    </row>
    <row r="404" spans="4:4">
      <c r="D404" s="5"/>
    </row>
    <row r="405" spans="4:4">
      <c r="D405" s="5"/>
    </row>
    <row r="406" spans="4:4">
      <c r="D406" s="5"/>
    </row>
    <row r="407" spans="4:4">
      <c r="D407" s="5"/>
    </row>
    <row r="408" spans="4:4">
      <c r="D408" s="5"/>
    </row>
    <row r="409" spans="4:4">
      <c r="D409" s="5"/>
    </row>
    <row r="410" spans="4:4">
      <c r="D410" s="5"/>
    </row>
    <row r="411" spans="4:4">
      <c r="D411" s="5"/>
    </row>
    <row r="412" spans="4:4">
      <c r="D412" s="5"/>
    </row>
    <row r="413" spans="4:4">
      <c r="D413" s="5"/>
    </row>
    <row r="414" spans="4:4">
      <c r="D414" s="5"/>
    </row>
    <row r="415" spans="4:4">
      <c r="D415" s="5"/>
    </row>
    <row r="416" spans="4:4">
      <c r="D416" s="5"/>
    </row>
    <row r="417" spans="4:4">
      <c r="D417" s="5"/>
    </row>
    <row r="418" spans="4:4">
      <c r="D418" s="5"/>
    </row>
    <row r="419" spans="4:4">
      <c r="D419" s="5"/>
    </row>
    <row r="420" spans="4:4">
      <c r="D420" s="5"/>
    </row>
    <row r="421" spans="4:4">
      <c r="D421" s="5"/>
    </row>
    <row r="422" spans="4:4">
      <c r="D422" s="5"/>
    </row>
    <row r="423" spans="4:4">
      <c r="D423" s="5"/>
    </row>
    <row r="424" spans="4:4">
      <c r="D424" s="5"/>
    </row>
    <row r="425" spans="4:4">
      <c r="D425" s="5"/>
    </row>
    <row r="426" spans="4:4">
      <c r="D426" s="5"/>
    </row>
    <row r="427" spans="4:4">
      <c r="D427" s="5"/>
    </row>
    <row r="428" spans="4:4">
      <c r="D428" s="5"/>
    </row>
    <row r="429" spans="4:4">
      <c r="D429" s="5"/>
    </row>
    <row r="430" spans="4:4">
      <c r="D430" s="5"/>
    </row>
    <row r="431" spans="4:4">
      <c r="D431" s="5"/>
    </row>
    <row r="432" spans="4:4">
      <c r="D432" s="5"/>
    </row>
    <row r="433" spans="4:4">
      <c r="D433" s="5"/>
    </row>
    <row r="434" spans="4:4">
      <c r="D434" s="5"/>
    </row>
    <row r="435" spans="4:4">
      <c r="D435" s="5"/>
    </row>
    <row r="436" spans="4:4">
      <c r="D436" s="5"/>
    </row>
    <row r="437" spans="4:4">
      <c r="D437" s="5"/>
    </row>
    <row r="438" spans="4:4">
      <c r="D438" s="5"/>
    </row>
    <row r="439" spans="4:4">
      <c r="D439" s="5"/>
    </row>
    <row r="440" spans="4:4">
      <c r="D440" s="5"/>
    </row>
    <row r="441" spans="4:4">
      <c r="D441" s="5"/>
    </row>
    <row r="442" spans="4:4">
      <c r="D442" s="5"/>
    </row>
    <row r="443" spans="4:4">
      <c r="D443" s="5"/>
    </row>
    <row r="444" spans="4:4">
      <c r="D444" s="5"/>
    </row>
    <row r="445" spans="4:4">
      <c r="D445" s="5"/>
    </row>
    <row r="446" spans="4:4">
      <c r="D446" s="5"/>
    </row>
    <row r="447" spans="4:4">
      <c r="D447" s="5"/>
    </row>
    <row r="448" spans="4:4">
      <c r="D448" s="5"/>
    </row>
    <row r="449" spans="4:4">
      <c r="D449" s="5"/>
    </row>
    <row r="450" spans="4:4">
      <c r="D450" s="5"/>
    </row>
    <row r="451" spans="4:4">
      <c r="D451" s="5"/>
    </row>
    <row r="452" spans="4:4">
      <c r="D452" s="5"/>
    </row>
    <row r="453" spans="4:4">
      <c r="D453" s="5"/>
    </row>
    <row r="454" spans="4:4">
      <c r="D454" s="5"/>
    </row>
    <row r="455" spans="4:4">
      <c r="D455" s="5"/>
    </row>
    <row r="456" spans="4:4">
      <c r="D456" s="5"/>
    </row>
    <row r="457" spans="4:4">
      <c r="D457" s="5"/>
    </row>
    <row r="458" spans="4:4">
      <c r="D458" s="5"/>
    </row>
    <row r="459" spans="4:4">
      <c r="D459" s="5"/>
    </row>
    <row r="460" spans="4:4">
      <c r="D460" s="5"/>
    </row>
    <row r="461" spans="4:4">
      <c r="D461" s="5"/>
    </row>
    <row r="462" spans="4:4">
      <c r="D462" s="5"/>
    </row>
    <row r="463" spans="4:4">
      <c r="D463" s="5"/>
    </row>
    <row r="464" spans="4:4">
      <c r="D464" s="5"/>
    </row>
    <row r="465" spans="4:4">
      <c r="D465" s="5"/>
    </row>
    <row r="466" spans="4:4">
      <c r="D466" s="5"/>
    </row>
    <row r="467" spans="4:4">
      <c r="D467" s="5"/>
    </row>
    <row r="468" spans="4:4">
      <c r="D468" s="5"/>
    </row>
    <row r="469" spans="4:4">
      <c r="D469" s="5"/>
    </row>
    <row r="470" spans="4:4">
      <c r="D470" s="5"/>
    </row>
    <row r="471" spans="4:4">
      <c r="D471" s="5"/>
    </row>
    <row r="472" spans="4:4">
      <c r="D472" s="5"/>
    </row>
    <row r="473" spans="4:4">
      <c r="D473" s="5"/>
    </row>
    <row r="474" spans="4:4">
      <c r="D474" s="5"/>
    </row>
    <row r="475" spans="4:4">
      <c r="D475" s="5"/>
    </row>
    <row r="476" spans="4:4">
      <c r="D476" s="5"/>
    </row>
    <row r="477" spans="4:4">
      <c r="D477" s="5"/>
    </row>
    <row r="478" spans="4:4">
      <c r="D478" s="5"/>
    </row>
    <row r="479" spans="4:4">
      <c r="D479" s="5"/>
    </row>
    <row r="480" spans="4:4">
      <c r="D480" s="5"/>
    </row>
    <row r="481" spans="4:4">
      <c r="D481" s="5"/>
    </row>
    <row r="482" spans="4:4">
      <c r="D482" s="5"/>
    </row>
    <row r="483" spans="4:4">
      <c r="D483" s="5"/>
    </row>
    <row r="484" spans="4:4">
      <c r="D484" s="5"/>
    </row>
    <row r="485" spans="4:4">
      <c r="D485" s="5"/>
    </row>
    <row r="486" spans="4:4">
      <c r="D486" s="5"/>
    </row>
    <row r="487" spans="4:4">
      <c r="D487" s="5"/>
    </row>
    <row r="488" spans="4:4">
      <c r="D488" s="5"/>
    </row>
    <row r="489" spans="4:4">
      <c r="D489" s="5"/>
    </row>
    <row r="490" spans="4:4">
      <c r="D490" s="5"/>
    </row>
    <row r="491" spans="4:4">
      <c r="D491" s="5"/>
    </row>
    <row r="492" spans="4:4">
      <c r="D492" s="5"/>
    </row>
    <row r="493" spans="4:4">
      <c r="D493" s="5"/>
    </row>
    <row r="494" spans="4:4">
      <c r="D494" s="5"/>
    </row>
    <row r="495" spans="4:4">
      <c r="D495" s="5"/>
    </row>
    <row r="496" spans="4:4">
      <c r="D496" s="5"/>
    </row>
    <row r="497" spans="4:4">
      <c r="D497" s="5"/>
    </row>
    <row r="498" spans="4:4">
      <c r="D498" s="5"/>
    </row>
    <row r="499" spans="4:4">
      <c r="D499" s="5"/>
    </row>
    <row r="500" spans="4:4">
      <c r="D500" s="5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9"/>
  <sheetViews>
    <sheetView topLeftCell="J1" zoomScale="85" zoomScaleNormal="85" workbookViewId="0">
      <selection activeCell="M23" sqref="M23"/>
    </sheetView>
  </sheetViews>
  <sheetFormatPr defaultRowHeight="14"/>
  <cols>
    <col min="1" max="1" width="18" customWidth="1"/>
    <col min="2" max="2" width="16" customWidth="1"/>
    <col min="3" max="3" width="38" customWidth="1"/>
    <col min="4" max="9" width="16" customWidth="1"/>
    <col min="10" max="11" width="38" customWidth="1"/>
    <col min="12" max="12" width="14" customWidth="1"/>
    <col min="13" max="13" width="38" customWidth="1"/>
    <col min="14" max="14" width="16" customWidth="1"/>
    <col min="15" max="20" width="16" style="6" customWidth="1"/>
    <col min="21" max="23" width="14" customWidth="1"/>
    <col min="24" max="24" width="38" customWidth="1"/>
  </cols>
  <sheetData>
    <row r="1" spans="1:24" ht="20">
      <c r="A1" s="7" t="s">
        <v>105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>
      <c r="A2" s="9" t="s">
        <v>106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</row>
    <row r="3" spans="1:24" ht="28">
      <c r="A3" s="1" t="s">
        <v>107</v>
      </c>
      <c r="B3" s="1" t="s">
        <v>108</v>
      </c>
      <c r="C3" s="1" t="s">
        <v>109</v>
      </c>
      <c r="D3" s="1" t="s">
        <v>33</v>
      </c>
      <c r="E3" s="1" t="s">
        <v>31</v>
      </c>
      <c r="F3" s="1" t="s">
        <v>32</v>
      </c>
      <c r="G3" s="1" t="s">
        <v>34</v>
      </c>
      <c r="H3" s="1" t="s">
        <v>110</v>
      </c>
      <c r="I3" s="1" t="s">
        <v>111</v>
      </c>
      <c r="J3" s="1" t="s">
        <v>112</v>
      </c>
      <c r="K3" s="1" t="s">
        <v>113</v>
      </c>
      <c r="L3" s="1" t="s">
        <v>114</v>
      </c>
      <c r="M3" s="1" t="s">
        <v>115</v>
      </c>
      <c r="N3" s="1" t="s">
        <v>116</v>
      </c>
      <c r="O3" s="1" t="s">
        <v>1150</v>
      </c>
      <c r="P3" s="1" t="s">
        <v>1151</v>
      </c>
      <c r="Q3" s="1" t="s">
        <v>1152</v>
      </c>
      <c r="R3" s="1" t="s">
        <v>1153</v>
      </c>
      <c r="S3" s="1" t="s">
        <v>1154</v>
      </c>
      <c r="T3" s="1" t="s">
        <v>1155</v>
      </c>
      <c r="U3" s="1" t="s">
        <v>117</v>
      </c>
      <c r="V3" s="1" t="s">
        <v>118</v>
      </c>
      <c r="W3" s="1" t="s">
        <v>17</v>
      </c>
      <c r="X3" s="1" t="s">
        <v>18</v>
      </c>
    </row>
    <row r="4" spans="1:24" ht="14" customHeight="1">
      <c r="A4" s="2" t="s">
        <v>513</v>
      </c>
      <c r="B4" s="2" t="s">
        <v>136</v>
      </c>
      <c r="C4" s="2" t="s">
        <v>137</v>
      </c>
      <c r="D4" s="2" t="s">
        <v>44</v>
      </c>
      <c r="E4" s="2" t="s">
        <v>103</v>
      </c>
      <c r="F4" s="2" t="s">
        <v>53</v>
      </c>
      <c r="G4" s="2" t="s">
        <v>72</v>
      </c>
      <c r="H4" s="2" t="s">
        <v>138</v>
      </c>
      <c r="I4" s="2" t="s">
        <v>139</v>
      </c>
      <c r="J4" s="2" t="s">
        <v>318</v>
      </c>
      <c r="K4" s="2" t="s">
        <v>319</v>
      </c>
      <c r="L4" s="4">
        <v>46152</v>
      </c>
      <c r="M4" s="2" t="s">
        <v>320</v>
      </c>
      <c r="N4" s="2" t="s">
        <v>103</v>
      </c>
      <c r="O4" s="2"/>
      <c r="P4" s="2"/>
      <c r="Q4" s="2"/>
      <c r="R4" s="2"/>
      <c r="S4" s="2"/>
      <c r="T4" s="2"/>
      <c r="U4" s="2" t="s">
        <v>46</v>
      </c>
      <c r="V4" s="2">
        <v>1</v>
      </c>
      <c r="W4" s="4">
        <v>46156</v>
      </c>
      <c r="X4" s="2" t="s">
        <v>514</v>
      </c>
    </row>
    <row r="5" spans="1:24" ht="42">
      <c r="A5" s="2" t="s">
        <v>515</v>
      </c>
      <c r="B5" s="2" t="s">
        <v>140</v>
      </c>
      <c r="C5" s="2" t="s">
        <v>141</v>
      </c>
      <c r="D5" s="2" t="s">
        <v>44</v>
      </c>
      <c r="E5" s="2" t="s">
        <v>86</v>
      </c>
      <c r="F5" s="2" t="s">
        <v>53</v>
      </c>
      <c r="G5" s="2" t="s">
        <v>72</v>
      </c>
      <c r="H5" s="2" t="s">
        <v>142</v>
      </c>
      <c r="I5" s="2" t="s">
        <v>143</v>
      </c>
      <c r="J5" s="2" t="s">
        <v>516</v>
      </c>
      <c r="K5" s="2" t="s">
        <v>321</v>
      </c>
      <c r="L5" s="4">
        <v>46155</v>
      </c>
      <c r="M5" s="2" t="s">
        <v>322</v>
      </c>
      <c r="N5" s="2" t="s">
        <v>86</v>
      </c>
      <c r="O5" s="2"/>
      <c r="P5" s="2"/>
      <c r="Q5" s="2"/>
      <c r="R5" s="2"/>
      <c r="S5" s="2"/>
      <c r="T5" s="2"/>
      <c r="U5" s="2" t="s">
        <v>46</v>
      </c>
      <c r="V5" s="2">
        <v>2</v>
      </c>
      <c r="W5" s="4">
        <v>46156</v>
      </c>
      <c r="X5" s="2" t="s">
        <v>517</v>
      </c>
    </row>
    <row r="6" spans="1:24" ht="14" customHeight="1">
      <c r="A6" s="2" t="s">
        <v>518</v>
      </c>
      <c r="B6" s="2" t="s">
        <v>119</v>
      </c>
      <c r="C6" s="2" t="s">
        <v>120</v>
      </c>
      <c r="D6" s="2" t="s">
        <v>54</v>
      </c>
      <c r="E6" s="2" t="s">
        <v>71</v>
      </c>
      <c r="F6" s="2" t="s">
        <v>43</v>
      </c>
      <c r="G6" s="2" t="s">
        <v>45</v>
      </c>
      <c r="H6" s="2" t="s">
        <v>121</v>
      </c>
      <c r="I6" s="2" t="s">
        <v>1118</v>
      </c>
      <c r="J6" s="2" t="s">
        <v>1119</v>
      </c>
      <c r="K6" s="2" t="s">
        <v>1120</v>
      </c>
      <c r="L6" s="4">
        <v>46157</v>
      </c>
      <c r="M6" s="2" t="s">
        <v>281</v>
      </c>
      <c r="N6" s="2" t="s">
        <v>71</v>
      </c>
      <c r="O6" t="s">
        <v>96</v>
      </c>
      <c r="P6" s="2" t="s">
        <v>52</v>
      </c>
      <c r="Q6" s="2"/>
      <c r="R6" s="2"/>
      <c r="S6" s="2"/>
      <c r="T6" s="2"/>
      <c r="U6" s="2" t="s">
        <v>46</v>
      </c>
      <c r="V6" s="2">
        <v>3</v>
      </c>
      <c r="W6" s="4">
        <v>46156</v>
      </c>
      <c r="X6" s="2" t="s">
        <v>519</v>
      </c>
    </row>
    <row r="7" spans="1:24" ht="70">
      <c r="A7" s="2" t="s">
        <v>520</v>
      </c>
      <c r="B7" s="2" t="s">
        <v>122</v>
      </c>
      <c r="C7" s="2" t="s">
        <v>123</v>
      </c>
      <c r="D7" s="2" t="s">
        <v>54</v>
      </c>
      <c r="E7" s="2" t="s">
        <v>71</v>
      </c>
      <c r="F7" s="2" t="s">
        <v>43</v>
      </c>
      <c r="G7" s="2" t="s">
        <v>55</v>
      </c>
      <c r="H7" s="2" t="s">
        <v>282</v>
      </c>
      <c r="I7" s="2" t="s">
        <v>283</v>
      </c>
      <c r="J7" s="2" t="s">
        <v>284</v>
      </c>
      <c r="K7" s="2" t="s">
        <v>285</v>
      </c>
      <c r="L7" s="4">
        <v>46157</v>
      </c>
      <c r="M7" s="2" t="s">
        <v>286</v>
      </c>
      <c r="N7" s="2" t="s">
        <v>71</v>
      </c>
      <c r="O7" t="s">
        <v>96</v>
      </c>
      <c r="P7" s="6" t="s">
        <v>96</v>
      </c>
      <c r="Q7" s="2" t="s">
        <v>248</v>
      </c>
      <c r="R7" s="2"/>
      <c r="S7" s="2"/>
      <c r="T7" s="2"/>
      <c r="U7" s="2" t="s">
        <v>46</v>
      </c>
      <c r="V7" s="2">
        <v>4</v>
      </c>
      <c r="W7" s="4">
        <v>46156</v>
      </c>
      <c r="X7" s="2" t="s">
        <v>521</v>
      </c>
    </row>
    <row r="8" spans="1:24" ht="42">
      <c r="A8" s="2" t="s">
        <v>522</v>
      </c>
      <c r="B8" s="2" t="s">
        <v>124</v>
      </c>
      <c r="C8" s="2" t="s">
        <v>125</v>
      </c>
      <c r="D8" s="2" t="s">
        <v>54</v>
      </c>
      <c r="E8" s="2" t="s">
        <v>104</v>
      </c>
      <c r="F8" s="2" t="s">
        <v>53</v>
      </c>
      <c r="G8" s="2" t="s">
        <v>81</v>
      </c>
      <c r="H8" s="2" t="s">
        <v>126</v>
      </c>
      <c r="I8" s="2" t="s">
        <v>127</v>
      </c>
      <c r="J8" s="2" t="s">
        <v>287</v>
      </c>
      <c r="K8" s="2" t="s">
        <v>288</v>
      </c>
      <c r="L8" s="4">
        <v>46162</v>
      </c>
      <c r="M8" s="2" t="s">
        <v>289</v>
      </c>
      <c r="N8" s="2" t="s">
        <v>71</v>
      </c>
      <c r="O8" s="2"/>
      <c r="P8" s="2"/>
      <c r="Q8" s="2"/>
      <c r="R8" s="2"/>
      <c r="S8" s="2"/>
      <c r="T8" s="2"/>
      <c r="U8" s="2" t="s">
        <v>46</v>
      </c>
      <c r="V8" s="2">
        <v>5</v>
      </c>
      <c r="W8" s="4">
        <v>46156</v>
      </c>
      <c r="X8" s="2" t="s">
        <v>523</v>
      </c>
    </row>
    <row r="9" spans="1:24" ht="56">
      <c r="A9" s="2" t="s">
        <v>524</v>
      </c>
      <c r="B9" s="2" t="s">
        <v>128</v>
      </c>
      <c r="C9" s="2" t="s">
        <v>129</v>
      </c>
      <c r="D9" s="2" t="s">
        <v>54</v>
      </c>
      <c r="E9" s="2" t="s">
        <v>62</v>
      </c>
      <c r="F9" s="2" t="s">
        <v>63</v>
      </c>
      <c r="G9" s="2" t="s">
        <v>87</v>
      </c>
      <c r="H9" s="2" t="s">
        <v>130</v>
      </c>
      <c r="I9" s="2" t="s">
        <v>131</v>
      </c>
      <c r="J9" s="2" t="s">
        <v>290</v>
      </c>
      <c r="K9" s="2" t="s">
        <v>132</v>
      </c>
      <c r="L9" s="4">
        <v>46157</v>
      </c>
      <c r="M9" s="2" t="s">
        <v>291</v>
      </c>
      <c r="N9" s="2" t="s">
        <v>62</v>
      </c>
      <c r="O9" s="2"/>
      <c r="P9" s="2"/>
      <c r="Q9" s="2"/>
      <c r="R9" s="2"/>
      <c r="S9" s="2"/>
      <c r="T9" s="2"/>
      <c r="U9" s="2" t="s">
        <v>46</v>
      </c>
      <c r="V9" s="2">
        <v>6</v>
      </c>
      <c r="W9" s="4">
        <v>46156</v>
      </c>
      <c r="X9" s="2" t="s">
        <v>525</v>
      </c>
    </row>
    <row r="10" spans="1:24" ht="42">
      <c r="A10" s="2" t="s">
        <v>526</v>
      </c>
      <c r="B10" s="2" t="s">
        <v>133</v>
      </c>
      <c r="C10" s="2" t="s">
        <v>133</v>
      </c>
      <c r="D10" s="2" t="s">
        <v>54</v>
      </c>
      <c r="E10" s="2" t="s">
        <v>72</v>
      </c>
      <c r="F10" s="2" t="s">
        <v>63</v>
      </c>
      <c r="G10" s="2" t="s">
        <v>87</v>
      </c>
      <c r="H10" s="2" t="s">
        <v>134</v>
      </c>
      <c r="I10" s="2" t="s">
        <v>135</v>
      </c>
      <c r="J10" s="2" t="s">
        <v>292</v>
      </c>
      <c r="K10" s="2" t="s">
        <v>293</v>
      </c>
      <c r="L10" s="4">
        <v>46161</v>
      </c>
      <c r="M10" s="2" t="s">
        <v>527</v>
      </c>
      <c r="N10" s="2" t="s">
        <v>62</v>
      </c>
      <c r="O10" s="2"/>
      <c r="P10" s="2"/>
      <c r="Q10" s="2"/>
      <c r="R10" s="2"/>
      <c r="S10" s="2"/>
      <c r="T10" s="2"/>
      <c r="U10" s="2" t="s">
        <v>46</v>
      </c>
      <c r="V10" s="2">
        <v>7</v>
      </c>
      <c r="W10" s="4">
        <v>46156</v>
      </c>
      <c r="X10" s="2" t="s">
        <v>528</v>
      </c>
    </row>
    <row r="11" spans="1:24" ht="14" customHeight="1">
      <c r="A11" s="2" t="s">
        <v>529</v>
      </c>
      <c r="B11" s="2" t="s">
        <v>294</v>
      </c>
      <c r="C11" s="2" t="s">
        <v>295</v>
      </c>
      <c r="D11" s="2" t="s">
        <v>296</v>
      </c>
      <c r="E11" s="2" t="s">
        <v>62</v>
      </c>
      <c r="F11" s="2" t="s">
        <v>53</v>
      </c>
      <c r="G11" s="2" t="s">
        <v>87</v>
      </c>
      <c r="H11" s="2" t="s">
        <v>297</v>
      </c>
      <c r="I11" s="2" t="s">
        <v>298</v>
      </c>
      <c r="J11" s="2" t="s">
        <v>299</v>
      </c>
      <c r="K11" s="2" t="s">
        <v>300</v>
      </c>
      <c r="L11" s="4">
        <v>46157</v>
      </c>
      <c r="M11" s="2" t="s">
        <v>301</v>
      </c>
      <c r="N11" s="2" t="s">
        <v>62</v>
      </c>
      <c r="O11" s="2"/>
      <c r="P11" s="2"/>
      <c r="Q11" s="2"/>
      <c r="R11" s="2"/>
      <c r="S11" s="2"/>
      <c r="T11" s="2"/>
      <c r="U11" s="2" t="s">
        <v>56</v>
      </c>
      <c r="V11" s="2">
        <v>8</v>
      </c>
      <c r="W11" s="4">
        <v>46156</v>
      </c>
      <c r="X11" s="2" t="s">
        <v>302</v>
      </c>
    </row>
    <row r="12" spans="1:24" ht="14" customHeight="1">
      <c r="A12" s="2" t="s">
        <v>530</v>
      </c>
      <c r="B12" s="2" t="s">
        <v>303</v>
      </c>
      <c r="C12" s="2" t="s">
        <v>304</v>
      </c>
      <c r="D12" s="2" t="s">
        <v>296</v>
      </c>
      <c r="E12" s="2" t="s">
        <v>62</v>
      </c>
      <c r="F12" s="2" t="s">
        <v>63</v>
      </c>
      <c r="G12" s="2" t="s">
        <v>87</v>
      </c>
      <c r="H12" s="2" t="s">
        <v>305</v>
      </c>
      <c r="I12" s="2" t="s">
        <v>298</v>
      </c>
      <c r="J12" s="2" t="s">
        <v>306</v>
      </c>
      <c r="K12" s="2" t="s">
        <v>531</v>
      </c>
      <c r="L12" s="4">
        <v>46157</v>
      </c>
      <c r="M12" s="2" t="s">
        <v>532</v>
      </c>
      <c r="N12" s="2" t="s">
        <v>62</v>
      </c>
      <c r="O12" s="2"/>
      <c r="P12" s="2"/>
      <c r="Q12" s="2"/>
      <c r="R12" s="2"/>
      <c r="S12" s="2"/>
      <c r="T12" s="2"/>
      <c r="U12" s="2" t="s">
        <v>56</v>
      </c>
      <c r="V12" s="2">
        <v>9</v>
      </c>
      <c r="W12" s="4">
        <v>46156</v>
      </c>
      <c r="X12" s="2" t="s">
        <v>533</v>
      </c>
    </row>
    <row r="13" spans="1:24" ht="14" customHeight="1">
      <c r="A13" s="2" t="s">
        <v>534</v>
      </c>
      <c r="B13" s="2" t="s">
        <v>307</v>
      </c>
      <c r="C13" s="2" t="s">
        <v>308</v>
      </c>
      <c r="D13" s="2" t="s">
        <v>309</v>
      </c>
      <c r="E13" s="2" t="s">
        <v>63</v>
      </c>
      <c r="F13" s="2" t="s">
        <v>310</v>
      </c>
      <c r="G13" s="2" t="s">
        <v>311</v>
      </c>
      <c r="H13" s="2" t="s">
        <v>312</v>
      </c>
      <c r="I13" s="2" t="s">
        <v>313</v>
      </c>
      <c r="J13" s="2" t="s">
        <v>314</v>
      </c>
      <c r="K13" s="2"/>
      <c r="L13" s="4" t="s">
        <v>315</v>
      </c>
      <c r="M13" s="2" t="s">
        <v>316</v>
      </c>
      <c r="N13" s="2" t="s">
        <v>56</v>
      </c>
      <c r="O13" s="2"/>
      <c r="P13" s="2"/>
      <c r="Q13" s="2"/>
      <c r="R13" s="2"/>
      <c r="S13" s="2"/>
      <c r="T13" s="2"/>
      <c r="U13" s="2">
        <v>10</v>
      </c>
      <c r="V13" s="10">
        <v>46156</v>
      </c>
      <c r="W13" s="4" t="s">
        <v>317</v>
      </c>
      <c r="X13" s="2"/>
    </row>
    <row r="14" spans="1:24" ht="28">
      <c r="A14" s="2" t="s">
        <v>535</v>
      </c>
      <c r="B14" s="2" t="s">
        <v>144</v>
      </c>
      <c r="C14" s="2" t="s">
        <v>144</v>
      </c>
      <c r="D14" s="2" t="s">
        <v>64</v>
      </c>
      <c r="E14" s="2" t="s">
        <v>102</v>
      </c>
      <c r="F14" s="2" t="s">
        <v>53</v>
      </c>
      <c r="G14" s="2" t="s">
        <v>72</v>
      </c>
      <c r="H14" s="2" t="s">
        <v>72</v>
      </c>
      <c r="I14" s="2" t="s">
        <v>145</v>
      </c>
      <c r="J14" s="2" t="s">
        <v>146</v>
      </c>
      <c r="K14" s="2" t="s">
        <v>147</v>
      </c>
      <c r="L14" s="4"/>
      <c r="M14" s="2" t="s">
        <v>323</v>
      </c>
      <c r="N14" s="2" t="s">
        <v>42</v>
      </c>
      <c r="O14" s="2"/>
      <c r="P14" s="2"/>
      <c r="Q14" s="2"/>
      <c r="R14" s="2"/>
      <c r="S14" s="2"/>
      <c r="T14" s="2"/>
      <c r="U14" s="2" t="s">
        <v>46</v>
      </c>
      <c r="V14" s="2">
        <v>11</v>
      </c>
      <c r="W14" s="4">
        <v>46156</v>
      </c>
      <c r="X14" s="2" t="s">
        <v>324</v>
      </c>
    </row>
    <row r="15" spans="1:2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4"/>
      <c r="M15" s="2"/>
      <c r="N15" s="2"/>
      <c r="O15" s="2"/>
      <c r="P15" s="2"/>
      <c r="Q15" s="2"/>
      <c r="R15" s="2"/>
      <c r="S15" s="2"/>
      <c r="T15" s="2"/>
      <c r="U15" s="2"/>
      <c r="V15" s="2"/>
      <c r="W15" s="4"/>
      <c r="X15" s="2"/>
    </row>
    <row r="16" spans="1:2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4"/>
      <c r="M16" s="2"/>
      <c r="N16" s="2"/>
      <c r="O16" s="2"/>
      <c r="P16" s="2"/>
      <c r="Q16" s="2"/>
      <c r="R16" s="2"/>
      <c r="S16" s="2"/>
      <c r="T16" s="2"/>
      <c r="U16" s="2"/>
      <c r="V16" s="2"/>
      <c r="W16" s="4"/>
      <c r="X16" s="2"/>
    </row>
    <row r="17" spans="1:2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4"/>
      <c r="M17" s="2"/>
      <c r="N17" s="2"/>
      <c r="O17" s="2"/>
      <c r="P17" s="2"/>
      <c r="Q17" s="2"/>
      <c r="R17" s="2"/>
      <c r="S17" s="2"/>
      <c r="T17" s="2"/>
      <c r="U17" s="2"/>
      <c r="V17" s="2"/>
      <c r="W17" s="4"/>
      <c r="X17" s="2"/>
    </row>
    <row r="18" spans="1:2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4"/>
      <c r="M18" s="2"/>
      <c r="N18" s="2"/>
      <c r="O18" s="2"/>
      <c r="P18" s="2"/>
      <c r="Q18" s="2"/>
      <c r="R18" s="2"/>
      <c r="S18" s="2"/>
      <c r="T18" s="2"/>
      <c r="U18" s="2"/>
      <c r="V18" s="2"/>
      <c r="W18" s="4"/>
      <c r="X18" s="2"/>
    </row>
    <row r="19" spans="1:2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4"/>
      <c r="M19" s="2"/>
      <c r="N19" s="2"/>
      <c r="O19" s="2"/>
      <c r="P19" s="2"/>
      <c r="Q19" s="2"/>
      <c r="R19" s="2"/>
      <c r="S19" s="2"/>
      <c r="T19" s="2"/>
      <c r="U19" s="2"/>
      <c r="V19" s="2"/>
      <c r="W19" s="4"/>
      <c r="X19" s="2"/>
    </row>
    <row r="20" spans="1:2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4"/>
      <c r="M20" s="2"/>
      <c r="N20" s="2"/>
      <c r="O20" s="2"/>
      <c r="P20" s="2"/>
      <c r="Q20" s="2"/>
      <c r="R20" s="2"/>
      <c r="S20" s="2"/>
      <c r="T20" s="2"/>
      <c r="U20" s="2"/>
      <c r="V20" s="2"/>
      <c r="W20" s="4"/>
      <c r="X20" s="2"/>
    </row>
    <row r="21" spans="1:2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4"/>
      <c r="M21" s="2"/>
      <c r="N21" s="2"/>
      <c r="O21" s="2"/>
      <c r="P21" s="2"/>
      <c r="Q21" s="2"/>
      <c r="R21" s="2"/>
      <c r="S21" s="2"/>
      <c r="T21" s="2"/>
      <c r="U21" s="2"/>
      <c r="V21" s="2"/>
      <c r="W21" s="4"/>
      <c r="X21" s="2"/>
    </row>
    <row r="22" spans="1:2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4"/>
      <c r="M22" s="2"/>
      <c r="N22" s="2"/>
      <c r="O22" s="2"/>
      <c r="P22" s="2"/>
      <c r="Q22" s="2"/>
      <c r="R22" s="2"/>
      <c r="S22" s="2"/>
      <c r="T22" s="2"/>
      <c r="U22" s="2"/>
      <c r="V22" s="2"/>
      <c r="W22" s="4"/>
      <c r="X22" s="2"/>
    </row>
    <row r="23" spans="1:2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  <c r="N23" s="2"/>
      <c r="O23" s="2"/>
      <c r="P23" s="2"/>
      <c r="Q23" s="2"/>
      <c r="R23" s="2"/>
      <c r="S23" s="2"/>
      <c r="T23" s="2"/>
      <c r="U23" s="2"/>
      <c r="V23" s="2"/>
      <c r="W23" s="4"/>
      <c r="X23" s="2"/>
    </row>
    <row r="24" spans="1: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4"/>
      <c r="M24" s="2"/>
      <c r="N24" s="2"/>
      <c r="O24" s="2"/>
      <c r="P24" s="2"/>
      <c r="Q24" s="2"/>
      <c r="R24" s="2"/>
      <c r="S24" s="2"/>
      <c r="T24" s="2"/>
      <c r="U24" s="2"/>
      <c r="V24" s="2"/>
      <c r="W24" s="4"/>
      <c r="X24" s="2"/>
    </row>
    <row r="25" spans="1:2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  <c r="N25" s="2"/>
      <c r="O25" s="2"/>
      <c r="P25" s="2"/>
      <c r="Q25" s="2"/>
      <c r="R25" s="2"/>
      <c r="S25" s="2"/>
      <c r="T25" s="2"/>
      <c r="U25" s="2"/>
      <c r="V25" s="2"/>
      <c r="W25" s="4"/>
      <c r="X25" s="2"/>
    </row>
    <row r="26" spans="1:2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4"/>
      <c r="M26" s="2"/>
      <c r="N26" s="2"/>
      <c r="O26" s="2"/>
      <c r="P26" s="2"/>
      <c r="Q26" s="2"/>
      <c r="R26" s="2"/>
      <c r="S26" s="2"/>
      <c r="T26" s="2"/>
      <c r="U26" s="2"/>
      <c r="V26" s="2"/>
      <c r="W26" s="4"/>
      <c r="X26" s="2"/>
    </row>
    <row r="27" spans="1:2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  <c r="N27" s="2"/>
      <c r="O27" s="2"/>
      <c r="P27" s="2"/>
      <c r="Q27" s="2"/>
      <c r="R27" s="2"/>
      <c r="S27" s="2"/>
      <c r="T27" s="2"/>
      <c r="U27" s="2"/>
      <c r="V27" s="2"/>
      <c r="W27" s="4"/>
      <c r="X27" s="2"/>
    </row>
    <row r="28" spans="1:2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4"/>
      <c r="M28" s="2"/>
      <c r="N28" s="2"/>
      <c r="O28" s="2"/>
      <c r="P28" s="2"/>
      <c r="Q28" s="2"/>
      <c r="R28" s="2"/>
      <c r="S28" s="2"/>
      <c r="T28" s="2"/>
      <c r="U28" s="2"/>
      <c r="V28" s="2"/>
      <c r="W28" s="4"/>
      <c r="X28" s="2"/>
    </row>
    <row r="29" spans="1:2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  <c r="N29" s="2"/>
      <c r="O29" s="2"/>
      <c r="P29" s="2"/>
      <c r="Q29" s="2"/>
      <c r="R29" s="2"/>
      <c r="S29" s="2"/>
      <c r="T29" s="2"/>
      <c r="U29" s="2"/>
      <c r="V29" s="2"/>
      <c r="W29" s="4"/>
      <c r="X29" s="2"/>
    </row>
    <row r="30" spans="1:2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4"/>
      <c r="M30" s="2"/>
      <c r="N30" s="2"/>
      <c r="O30" s="2"/>
      <c r="P30" s="2"/>
      <c r="Q30" s="2"/>
      <c r="R30" s="2"/>
      <c r="S30" s="2"/>
      <c r="T30" s="2"/>
      <c r="U30" s="2"/>
      <c r="V30" s="2"/>
      <c r="W30" s="4"/>
      <c r="X30" s="2"/>
    </row>
    <row r="31" spans="1:2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  <c r="N31" s="2"/>
      <c r="O31" s="2"/>
      <c r="P31" s="2"/>
      <c r="Q31" s="2"/>
      <c r="R31" s="2"/>
      <c r="S31" s="2"/>
      <c r="T31" s="2"/>
      <c r="U31" s="2"/>
      <c r="V31" s="2"/>
      <c r="W31" s="4"/>
      <c r="X31" s="2"/>
    </row>
    <row r="32" spans="1:2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4"/>
      <c r="M32" s="2"/>
      <c r="N32" s="2"/>
      <c r="O32" s="2"/>
      <c r="P32" s="2"/>
      <c r="Q32" s="2"/>
      <c r="R32" s="2"/>
      <c r="S32" s="2"/>
      <c r="T32" s="2"/>
      <c r="U32" s="2"/>
      <c r="V32" s="2"/>
      <c r="W32" s="4"/>
      <c r="X32" s="2"/>
    </row>
    <row r="33" spans="1:2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  <c r="N33" s="2"/>
      <c r="O33" s="2"/>
      <c r="P33" s="2"/>
      <c r="Q33" s="2"/>
      <c r="R33" s="2"/>
      <c r="S33" s="2"/>
      <c r="T33" s="2"/>
      <c r="U33" s="2"/>
      <c r="V33" s="2"/>
      <c r="W33" s="4"/>
      <c r="X33" s="2"/>
    </row>
    <row r="34" spans="1:2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4"/>
      <c r="M34" s="2"/>
      <c r="N34" s="2"/>
      <c r="O34" s="2"/>
      <c r="P34" s="2"/>
      <c r="Q34" s="2"/>
      <c r="R34" s="2"/>
      <c r="S34" s="2"/>
      <c r="T34" s="2"/>
      <c r="U34" s="2"/>
      <c r="V34" s="2"/>
      <c r="W34" s="4"/>
      <c r="X34" s="2"/>
    </row>
    <row r="35" spans="1:2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  <c r="N35" s="2"/>
      <c r="O35" s="2"/>
      <c r="P35" s="2"/>
      <c r="Q35" s="2"/>
      <c r="R35" s="2"/>
      <c r="S35" s="2"/>
      <c r="T35" s="2"/>
      <c r="U35" s="2"/>
      <c r="V35" s="2"/>
      <c r="W35" s="4"/>
      <c r="X35" s="2"/>
    </row>
    <row r="36" spans="1:2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4"/>
      <c r="M36" s="2"/>
      <c r="N36" s="2"/>
      <c r="O36" s="2"/>
      <c r="P36" s="2"/>
      <c r="Q36" s="2"/>
      <c r="R36" s="2"/>
      <c r="S36" s="2"/>
      <c r="T36" s="2"/>
      <c r="U36" s="2"/>
      <c r="V36" s="2"/>
      <c r="W36" s="4"/>
      <c r="X36" s="2"/>
    </row>
    <row r="37" spans="1:2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  <c r="N37" s="2"/>
      <c r="O37" s="2"/>
      <c r="P37" s="2"/>
      <c r="Q37" s="2"/>
      <c r="R37" s="2"/>
      <c r="S37" s="2"/>
      <c r="T37" s="2"/>
      <c r="U37" s="2"/>
      <c r="V37" s="2"/>
      <c r="W37" s="4"/>
      <c r="X37" s="2"/>
    </row>
    <row r="38" spans="1:2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4"/>
      <c r="M38" s="2"/>
      <c r="N38" s="2"/>
      <c r="O38" s="2"/>
      <c r="P38" s="2"/>
      <c r="Q38" s="2"/>
      <c r="R38" s="2"/>
      <c r="S38" s="2"/>
      <c r="T38" s="2"/>
      <c r="U38" s="2"/>
      <c r="V38" s="2"/>
      <c r="W38" s="4"/>
      <c r="X38" s="2"/>
    </row>
    <row r="39" spans="1:2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  <c r="N39" s="2"/>
      <c r="O39" s="2"/>
      <c r="P39" s="2"/>
      <c r="Q39" s="2"/>
      <c r="R39" s="2"/>
      <c r="S39" s="2"/>
      <c r="T39" s="2"/>
      <c r="U39" s="2"/>
      <c r="V39" s="2"/>
      <c r="W39" s="4"/>
      <c r="X39" s="2"/>
    </row>
    <row r="40" spans="1:2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4"/>
      <c r="M40" s="2"/>
      <c r="N40" s="2"/>
      <c r="O40" s="2"/>
      <c r="P40" s="2"/>
      <c r="Q40" s="2"/>
      <c r="R40" s="2"/>
      <c r="S40" s="2"/>
      <c r="T40" s="2"/>
      <c r="U40" s="2"/>
      <c r="V40" s="2"/>
      <c r="W40" s="4"/>
      <c r="X40" s="2"/>
    </row>
    <row r="41" spans="1:2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  <c r="N41" s="2"/>
      <c r="O41" s="2"/>
      <c r="P41" s="2"/>
      <c r="Q41" s="2"/>
      <c r="R41" s="2"/>
      <c r="S41" s="2"/>
      <c r="T41" s="2"/>
      <c r="U41" s="2"/>
      <c r="V41" s="2"/>
      <c r="W41" s="4"/>
      <c r="X41" s="2"/>
    </row>
    <row r="42" spans="1:2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4"/>
      <c r="M42" s="2"/>
      <c r="N42" s="2"/>
      <c r="O42" s="2"/>
      <c r="P42" s="2"/>
      <c r="Q42" s="2"/>
      <c r="R42" s="2"/>
      <c r="S42" s="2"/>
      <c r="T42" s="2"/>
      <c r="U42" s="2"/>
      <c r="V42" s="2"/>
      <c r="W42" s="4"/>
      <c r="X42" s="2"/>
    </row>
    <row r="43" spans="1:2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  <c r="N43" s="2"/>
      <c r="O43" s="2"/>
      <c r="P43" s="2"/>
      <c r="Q43" s="2"/>
      <c r="R43" s="2"/>
      <c r="S43" s="2"/>
      <c r="T43" s="2"/>
      <c r="U43" s="2"/>
      <c r="V43" s="2"/>
      <c r="W43" s="4"/>
      <c r="X43" s="2"/>
    </row>
    <row r="44" spans="1:2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4"/>
      <c r="M44" s="2"/>
      <c r="N44" s="2"/>
      <c r="O44" s="2"/>
      <c r="P44" s="2"/>
      <c r="Q44" s="2"/>
      <c r="R44" s="2"/>
      <c r="S44" s="2"/>
      <c r="T44" s="2"/>
      <c r="U44" s="2"/>
      <c r="V44" s="2"/>
      <c r="W44" s="4"/>
      <c r="X44" s="2"/>
    </row>
    <row r="45" spans="1:2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  <c r="N45" s="2"/>
      <c r="O45" s="2"/>
      <c r="P45" s="2"/>
      <c r="Q45" s="2"/>
      <c r="R45" s="2"/>
      <c r="S45" s="2"/>
      <c r="T45" s="2"/>
      <c r="U45" s="2"/>
      <c r="V45" s="2"/>
      <c r="W45" s="4"/>
      <c r="X45" s="2"/>
    </row>
    <row r="46" spans="1:2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4"/>
      <c r="M46" s="2"/>
      <c r="N46" s="2"/>
      <c r="O46" s="2"/>
      <c r="P46" s="2"/>
      <c r="Q46" s="2"/>
      <c r="R46" s="2"/>
      <c r="S46" s="2"/>
      <c r="T46" s="2"/>
      <c r="U46" s="2"/>
      <c r="V46" s="2"/>
      <c r="W46" s="4"/>
      <c r="X46" s="2"/>
    </row>
    <row r="47" spans="1:2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4"/>
      <c r="M47" s="2"/>
      <c r="N47" s="2"/>
      <c r="O47" s="2"/>
      <c r="P47" s="2"/>
      <c r="Q47" s="2"/>
      <c r="R47" s="2"/>
      <c r="S47" s="2"/>
      <c r="T47" s="2"/>
      <c r="U47" s="2"/>
      <c r="V47" s="2"/>
      <c r="W47" s="4"/>
      <c r="X47" s="2"/>
    </row>
    <row r="48" spans="1:2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4"/>
      <c r="M48" s="2"/>
      <c r="N48" s="2"/>
      <c r="O48" s="2"/>
      <c r="P48" s="2"/>
      <c r="Q48" s="2"/>
      <c r="R48" s="2"/>
      <c r="S48" s="2"/>
      <c r="T48" s="2"/>
      <c r="U48" s="2"/>
      <c r="V48" s="2"/>
      <c r="W48" s="4"/>
      <c r="X48" s="2"/>
    </row>
    <row r="49" spans="1:2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4"/>
      <c r="M49" s="2"/>
      <c r="N49" s="2"/>
      <c r="O49" s="2"/>
      <c r="P49" s="2"/>
      <c r="Q49" s="2"/>
      <c r="R49" s="2"/>
      <c r="S49" s="2"/>
      <c r="T49" s="2"/>
      <c r="U49" s="2"/>
      <c r="V49" s="2"/>
      <c r="W49" s="4"/>
      <c r="X49" s="2"/>
    </row>
    <row r="50" spans="1:2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4"/>
      <c r="M50" s="2"/>
      <c r="N50" s="2"/>
      <c r="O50" s="2"/>
      <c r="P50" s="2"/>
      <c r="Q50" s="2"/>
      <c r="R50" s="2"/>
      <c r="S50" s="2"/>
      <c r="T50" s="2"/>
      <c r="U50" s="2"/>
      <c r="V50" s="2"/>
      <c r="W50" s="4"/>
      <c r="X50" s="2"/>
    </row>
    <row r="51" spans="1:2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4"/>
      <c r="M51" s="2"/>
      <c r="N51" s="2"/>
      <c r="O51" s="2"/>
      <c r="P51" s="2"/>
      <c r="Q51" s="2"/>
      <c r="R51" s="2"/>
      <c r="S51" s="2"/>
      <c r="T51" s="2"/>
      <c r="U51" s="2"/>
      <c r="V51" s="2"/>
      <c r="W51" s="4"/>
      <c r="X51" s="2"/>
    </row>
    <row r="52" spans="1:2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4"/>
      <c r="M52" s="2"/>
      <c r="N52" s="2"/>
      <c r="O52" s="2"/>
      <c r="P52" s="2"/>
      <c r="Q52" s="2"/>
      <c r="R52" s="2"/>
      <c r="S52" s="2"/>
      <c r="T52" s="2"/>
      <c r="U52" s="2"/>
      <c r="V52" s="2"/>
      <c r="W52" s="4"/>
      <c r="X52" s="2"/>
    </row>
    <row r="53" spans="1:24">
      <c r="L53" s="5"/>
      <c r="W53" s="5"/>
    </row>
    <row r="54" spans="1:24">
      <c r="L54" s="5"/>
      <c r="W54" s="5"/>
    </row>
    <row r="55" spans="1:24">
      <c r="L55" s="5"/>
      <c r="W55" s="5"/>
    </row>
    <row r="56" spans="1:24">
      <c r="L56" s="5"/>
      <c r="W56" s="5"/>
    </row>
    <row r="57" spans="1:24">
      <c r="L57" s="5"/>
      <c r="W57" s="5"/>
    </row>
    <row r="58" spans="1:24">
      <c r="L58" s="5"/>
      <c r="W58" s="5"/>
    </row>
    <row r="59" spans="1:24">
      <c r="L59" s="5"/>
      <c r="W59" s="5"/>
    </row>
    <row r="60" spans="1:24">
      <c r="L60" s="5"/>
      <c r="W60" s="5"/>
    </row>
    <row r="61" spans="1:24">
      <c r="L61" s="5"/>
      <c r="W61" s="5"/>
    </row>
    <row r="62" spans="1:24">
      <c r="L62" s="5"/>
      <c r="W62" s="5"/>
    </row>
    <row r="63" spans="1:24">
      <c r="L63" s="5"/>
      <c r="W63" s="5"/>
    </row>
    <row r="64" spans="1:24">
      <c r="L64" s="5"/>
      <c r="W64" s="5"/>
    </row>
    <row r="65" spans="12:23">
      <c r="L65" s="5"/>
      <c r="W65" s="5"/>
    </row>
    <row r="66" spans="12:23">
      <c r="L66" s="5"/>
      <c r="W66" s="5"/>
    </row>
    <row r="67" spans="12:23">
      <c r="L67" s="5"/>
      <c r="W67" s="5"/>
    </row>
    <row r="68" spans="12:23">
      <c r="L68" s="5"/>
      <c r="W68" s="5"/>
    </row>
    <row r="69" spans="12:23">
      <c r="L69" s="5"/>
      <c r="W69" s="5"/>
    </row>
    <row r="70" spans="12:23">
      <c r="L70" s="5"/>
      <c r="W70" s="5"/>
    </row>
    <row r="71" spans="12:23">
      <c r="L71" s="5"/>
      <c r="W71" s="5"/>
    </row>
    <row r="72" spans="12:23">
      <c r="L72" s="5"/>
      <c r="W72" s="5"/>
    </row>
    <row r="73" spans="12:23">
      <c r="L73" s="5"/>
      <c r="W73" s="5"/>
    </row>
    <row r="74" spans="12:23">
      <c r="L74" s="5"/>
      <c r="W74" s="5"/>
    </row>
    <row r="75" spans="12:23">
      <c r="L75" s="5"/>
      <c r="W75" s="5"/>
    </row>
    <row r="76" spans="12:23">
      <c r="L76" s="5"/>
      <c r="W76" s="5"/>
    </row>
    <row r="77" spans="12:23">
      <c r="L77" s="5"/>
      <c r="W77" s="5"/>
    </row>
    <row r="78" spans="12:23">
      <c r="L78" s="5"/>
      <c r="W78" s="5"/>
    </row>
    <row r="79" spans="12:23">
      <c r="L79" s="5"/>
      <c r="W79" s="5"/>
    </row>
    <row r="80" spans="12:23">
      <c r="L80" s="5"/>
      <c r="W80" s="5"/>
    </row>
    <row r="81" spans="12:23">
      <c r="L81" s="5"/>
      <c r="W81" s="5"/>
    </row>
    <row r="82" spans="12:23">
      <c r="L82" s="5"/>
      <c r="W82" s="5"/>
    </row>
    <row r="83" spans="12:23">
      <c r="L83" s="5"/>
      <c r="W83" s="5"/>
    </row>
    <row r="84" spans="12:23">
      <c r="L84" s="5"/>
      <c r="W84" s="5"/>
    </row>
    <row r="85" spans="12:23">
      <c r="L85" s="5"/>
      <c r="W85" s="5"/>
    </row>
    <row r="86" spans="12:23">
      <c r="L86" s="5"/>
      <c r="W86" s="5"/>
    </row>
    <row r="87" spans="12:23">
      <c r="L87" s="5"/>
      <c r="W87" s="5"/>
    </row>
    <row r="88" spans="12:23">
      <c r="L88" s="5"/>
      <c r="W88" s="5"/>
    </row>
    <row r="89" spans="12:23">
      <c r="L89" s="5"/>
      <c r="W89" s="5"/>
    </row>
    <row r="90" spans="12:23">
      <c r="L90" s="5"/>
      <c r="W90" s="5"/>
    </row>
    <row r="91" spans="12:23">
      <c r="L91" s="5"/>
      <c r="W91" s="5"/>
    </row>
    <row r="92" spans="12:23">
      <c r="L92" s="5"/>
      <c r="W92" s="5"/>
    </row>
    <row r="93" spans="12:23">
      <c r="L93" s="5"/>
      <c r="W93" s="5"/>
    </row>
    <row r="94" spans="12:23">
      <c r="L94" s="5"/>
      <c r="W94" s="5"/>
    </row>
    <row r="95" spans="12:23">
      <c r="L95" s="5"/>
      <c r="W95" s="5"/>
    </row>
    <row r="96" spans="12:23">
      <c r="L96" s="5"/>
      <c r="W96" s="5"/>
    </row>
    <row r="97" spans="12:23">
      <c r="L97" s="5"/>
      <c r="W97" s="5"/>
    </row>
    <row r="98" spans="12:23">
      <c r="L98" s="5"/>
      <c r="W98" s="5"/>
    </row>
    <row r="99" spans="12:23">
      <c r="L99" s="5"/>
      <c r="W99" s="5"/>
    </row>
    <row r="100" spans="12:23">
      <c r="L100" s="5"/>
      <c r="W100" s="5"/>
    </row>
    <row r="101" spans="12:23">
      <c r="L101" s="5"/>
      <c r="W101" s="5"/>
    </row>
    <row r="102" spans="12:23">
      <c r="L102" s="5"/>
      <c r="W102" s="5"/>
    </row>
    <row r="103" spans="12:23">
      <c r="L103" s="5"/>
      <c r="W103" s="5"/>
    </row>
    <row r="104" spans="12:23">
      <c r="L104" s="5"/>
      <c r="W104" s="5"/>
    </row>
    <row r="105" spans="12:23">
      <c r="L105" s="5"/>
      <c r="W105" s="5"/>
    </row>
    <row r="106" spans="12:23">
      <c r="L106" s="5"/>
      <c r="W106" s="5"/>
    </row>
    <row r="107" spans="12:23">
      <c r="L107" s="5"/>
      <c r="W107" s="5"/>
    </row>
    <row r="108" spans="12:23">
      <c r="L108" s="5"/>
      <c r="W108" s="5"/>
    </row>
    <row r="109" spans="12:23">
      <c r="L109" s="5"/>
      <c r="W109" s="5"/>
    </row>
    <row r="110" spans="12:23">
      <c r="L110" s="5"/>
      <c r="W110" s="5"/>
    </row>
    <row r="111" spans="12:23">
      <c r="L111" s="5"/>
      <c r="W111" s="5"/>
    </row>
    <row r="112" spans="12:23">
      <c r="L112" s="5"/>
      <c r="W112" s="5"/>
    </row>
    <row r="113" spans="12:23">
      <c r="L113" s="5"/>
      <c r="W113" s="5"/>
    </row>
    <row r="114" spans="12:23">
      <c r="L114" s="5"/>
      <c r="W114" s="5"/>
    </row>
    <row r="115" spans="12:23">
      <c r="L115" s="5"/>
      <c r="W115" s="5"/>
    </row>
    <row r="116" spans="12:23">
      <c r="L116" s="5"/>
      <c r="W116" s="5"/>
    </row>
    <row r="117" spans="12:23">
      <c r="L117" s="5"/>
      <c r="W117" s="5"/>
    </row>
    <row r="118" spans="12:23">
      <c r="L118" s="5"/>
      <c r="W118" s="5"/>
    </row>
    <row r="119" spans="12:23">
      <c r="L119" s="5"/>
      <c r="W119" s="5"/>
    </row>
    <row r="120" spans="12:23">
      <c r="L120" s="5"/>
      <c r="W120" s="5"/>
    </row>
    <row r="121" spans="12:23">
      <c r="L121" s="5"/>
      <c r="W121" s="5"/>
    </row>
    <row r="122" spans="12:23">
      <c r="L122" s="5"/>
      <c r="W122" s="5"/>
    </row>
    <row r="123" spans="12:23">
      <c r="L123" s="5"/>
      <c r="W123" s="5"/>
    </row>
    <row r="124" spans="12:23">
      <c r="L124" s="5"/>
      <c r="W124" s="5"/>
    </row>
    <row r="125" spans="12:23">
      <c r="L125" s="5"/>
      <c r="W125" s="5"/>
    </row>
    <row r="126" spans="12:23">
      <c r="L126" s="5"/>
      <c r="W126" s="5"/>
    </row>
    <row r="127" spans="12:23">
      <c r="L127" s="5"/>
      <c r="W127" s="5"/>
    </row>
    <row r="128" spans="12:23">
      <c r="L128" s="5"/>
      <c r="W128" s="5"/>
    </row>
    <row r="129" spans="12:23">
      <c r="L129" s="5"/>
      <c r="W129" s="5"/>
    </row>
    <row r="130" spans="12:23">
      <c r="L130" s="5"/>
      <c r="W130" s="5"/>
    </row>
    <row r="131" spans="12:23">
      <c r="L131" s="5"/>
      <c r="W131" s="5"/>
    </row>
    <row r="132" spans="12:23">
      <c r="L132" s="5"/>
      <c r="W132" s="5"/>
    </row>
    <row r="133" spans="12:23">
      <c r="L133" s="5"/>
      <c r="W133" s="5"/>
    </row>
    <row r="134" spans="12:23">
      <c r="L134" s="5"/>
      <c r="W134" s="5"/>
    </row>
    <row r="135" spans="12:23">
      <c r="L135" s="5"/>
      <c r="W135" s="5"/>
    </row>
    <row r="136" spans="12:23">
      <c r="L136" s="5"/>
      <c r="W136" s="5"/>
    </row>
    <row r="137" spans="12:23">
      <c r="L137" s="5"/>
      <c r="W137" s="5"/>
    </row>
    <row r="138" spans="12:23">
      <c r="L138" s="5"/>
      <c r="W138" s="5"/>
    </row>
    <row r="139" spans="12:23">
      <c r="L139" s="5"/>
      <c r="W139" s="5"/>
    </row>
    <row r="140" spans="12:23">
      <c r="L140" s="5"/>
      <c r="W140" s="5"/>
    </row>
    <row r="141" spans="12:23">
      <c r="L141" s="5"/>
      <c r="W141" s="5"/>
    </row>
    <row r="142" spans="12:23">
      <c r="L142" s="5"/>
      <c r="W142" s="5"/>
    </row>
    <row r="143" spans="12:23">
      <c r="L143" s="5"/>
      <c r="W143" s="5"/>
    </row>
    <row r="144" spans="12:23">
      <c r="L144" s="5"/>
      <c r="W144" s="5"/>
    </row>
    <row r="145" spans="12:23">
      <c r="L145" s="5"/>
      <c r="W145" s="5"/>
    </row>
    <row r="146" spans="12:23">
      <c r="L146" s="5"/>
      <c r="W146" s="5"/>
    </row>
    <row r="147" spans="12:23">
      <c r="L147" s="5"/>
      <c r="W147" s="5"/>
    </row>
    <row r="148" spans="12:23">
      <c r="L148" s="5"/>
      <c r="W148" s="5"/>
    </row>
    <row r="149" spans="12:23">
      <c r="L149" s="5"/>
      <c r="W149" s="5"/>
    </row>
    <row r="150" spans="12:23">
      <c r="L150" s="5"/>
      <c r="W150" s="5"/>
    </row>
    <row r="151" spans="12:23">
      <c r="L151" s="5"/>
      <c r="W151" s="5"/>
    </row>
    <row r="152" spans="12:23">
      <c r="L152" s="5"/>
      <c r="W152" s="5"/>
    </row>
    <row r="153" spans="12:23">
      <c r="L153" s="5"/>
      <c r="W153" s="5"/>
    </row>
    <row r="154" spans="12:23">
      <c r="L154" s="5"/>
      <c r="W154" s="5"/>
    </row>
    <row r="155" spans="12:23">
      <c r="L155" s="5"/>
      <c r="W155" s="5"/>
    </row>
    <row r="156" spans="12:23">
      <c r="L156" s="5"/>
      <c r="W156" s="5"/>
    </row>
    <row r="157" spans="12:23">
      <c r="L157" s="5"/>
      <c r="W157" s="5"/>
    </row>
    <row r="158" spans="12:23">
      <c r="L158" s="5"/>
      <c r="W158" s="5"/>
    </row>
    <row r="159" spans="12:23">
      <c r="L159" s="5"/>
      <c r="W159" s="5"/>
    </row>
    <row r="160" spans="12:23">
      <c r="L160" s="5"/>
      <c r="W160" s="5"/>
    </row>
    <row r="161" spans="12:23">
      <c r="L161" s="5"/>
      <c r="W161" s="5"/>
    </row>
    <row r="162" spans="12:23">
      <c r="L162" s="5"/>
      <c r="W162" s="5"/>
    </row>
    <row r="163" spans="12:23">
      <c r="L163" s="5"/>
      <c r="W163" s="5"/>
    </row>
    <row r="164" spans="12:23">
      <c r="L164" s="5"/>
      <c r="W164" s="5"/>
    </row>
    <row r="165" spans="12:23">
      <c r="L165" s="5"/>
      <c r="W165" s="5"/>
    </row>
    <row r="166" spans="12:23">
      <c r="L166" s="5"/>
      <c r="W166" s="5"/>
    </row>
    <row r="167" spans="12:23">
      <c r="L167" s="5"/>
      <c r="W167" s="5"/>
    </row>
    <row r="168" spans="12:23">
      <c r="L168" s="5"/>
      <c r="W168" s="5"/>
    </row>
    <row r="169" spans="12:23">
      <c r="L169" s="5"/>
      <c r="W169" s="5"/>
    </row>
    <row r="170" spans="12:23">
      <c r="L170" s="5"/>
      <c r="W170" s="5"/>
    </row>
    <row r="171" spans="12:23">
      <c r="L171" s="5"/>
      <c r="W171" s="5"/>
    </row>
    <row r="172" spans="12:23">
      <c r="L172" s="5"/>
      <c r="W172" s="5"/>
    </row>
    <row r="173" spans="12:23">
      <c r="L173" s="5"/>
      <c r="W173" s="5"/>
    </row>
    <row r="174" spans="12:23">
      <c r="L174" s="5"/>
      <c r="W174" s="5"/>
    </row>
    <row r="175" spans="12:23">
      <c r="L175" s="5"/>
      <c r="W175" s="5"/>
    </row>
    <row r="176" spans="12:23">
      <c r="L176" s="5"/>
      <c r="W176" s="5"/>
    </row>
    <row r="177" spans="12:23">
      <c r="L177" s="5"/>
      <c r="W177" s="5"/>
    </row>
    <row r="178" spans="12:23">
      <c r="L178" s="5"/>
      <c r="W178" s="5"/>
    </row>
    <row r="179" spans="12:23">
      <c r="L179" s="5"/>
      <c r="W179" s="5"/>
    </row>
    <row r="180" spans="12:23">
      <c r="L180" s="5"/>
      <c r="W180" s="5"/>
    </row>
    <row r="181" spans="12:23">
      <c r="L181" s="5"/>
      <c r="W181" s="5"/>
    </row>
    <row r="182" spans="12:23">
      <c r="L182" s="5"/>
      <c r="W182" s="5"/>
    </row>
    <row r="183" spans="12:23">
      <c r="L183" s="5"/>
      <c r="W183" s="5"/>
    </row>
    <row r="184" spans="12:23">
      <c r="L184" s="5"/>
      <c r="W184" s="5"/>
    </row>
    <row r="185" spans="12:23">
      <c r="L185" s="5"/>
      <c r="W185" s="5"/>
    </row>
    <row r="186" spans="12:23">
      <c r="L186" s="5"/>
      <c r="W186" s="5"/>
    </row>
    <row r="187" spans="12:23">
      <c r="L187" s="5"/>
      <c r="W187" s="5"/>
    </row>
    <row r="188" spans="12:23">
      <c r="L188" s="5"/>
      <c r="W188" s="5"/>
    </row>
    <row r="189" spans="12:23">
      <c r="L189" s="5"/>
      <c r="W189" s="5"/>
    </row>
    <row r="190" spans="12:23">
      <c r="L190" s="5"/>
      <c r="W190" s="5"/>
    </row>
    <row r="191" spans="12:23">
      <c r="L191" s="5"/>
      <c r="W191" s="5"/>
    </row>
    <row r="192" spans="12:23">
      <c r="L192" s="5"/>
      <c r="W192" s="5"/>
    </row>
    <row r="193" spans="12:23">
      <c r="L193" s="5"/>
      <c r="W193" s="5"/>
    </row>
    <row r="194" spans="12:23">
      <c r="L194" s="5"/>
      <c r="W194" s="5"/>
    </row>
    <row r="195" spans="12:23">
      <c r="L195" s="5"/>
      <c r="W195" s="5"/>
    </row>
    <row r="196" spans="12:23">
      <c r="L196" s="5"/>
      <c r="W196" s="5"/>
    </row>
    <row r="197" spans="12:23">
      <c r="L197" s="5"/>
      <c r="W197" s="5"/>
    </row>
    <row r="198" spans="12:23">
      <c r="L198" s="5"/>
      <c r="W198" s="5"/>
    </row>
    <row r="199" spans="12:23">
      <c r="L199" s="5"/>
      <c r="W199" s="5"/>
    </row>
    <row r="200" spans="12:23">
      <c r="L200" s="5"/>
      <c r="W200" s="5"/>
    </row>
    <row r="201" spans="12:23">
      <c r="L201" s="5"/>
      <c r="W201" s="5"/>
    </row>
    <row r="202" spans="12:23">
      <c r="L202" s="5"/>
      <c r="W202" s="5"/>
    </row>
    <row r="203" spans="12:23">
      <c r="L203" s="5"/>
      <c r="W203" s="5"/>
    </row>
    <row r="204" spans="12:23">
      <c r="L204" s="5"/>
      <c r="W204" s="5"/>
    </row>
    <row r="205" spans="12:23">
      <c r="L205" s="5"/>
      <c r="W205" s="5"/>
    </row>
    <row r="206" spans="12:23">
      <c r="L206" s="5"/>
      <c r="W206" s="5"/>
    </row>
    <row r="207" spans="12:23">
      <c r="L207" s="5"/>
      <c r="W207" s="5"/>
    </row>
    <row r="208" spans="12:23">
      <c r="L208" s="5"/>
      <c r="W208" s="5"/>
    </row>
    <row r="209" spans="12:23">
      <c r="L209" s="5"/>
      <c r="W209" s="5"/>
    </row>
    <row r="210" spans="12:23">
      <c r="L210" s="5"/>
      <c r="W210" s="5"/>
    </row>
    <row r="211" spans="12:23">
      <c r="L211" s="5"/>
      <c r="W211" s="5"/>
    </row>
    <row r="212" spans="12:23">
      <c r="L212" s="5"/>
      <c r="W212" s="5"/>
    </row>
    <row r="213" spans="12:23">
      <c r="L213" s="5"/>
      <c r="W213" s="5"/>
    </row>
    <row r="214" spans="12:23">
      <c r="L214" s="5"/>
      <c r="W214" s="5"/>
    </row>
    <row r="215" spans="12:23">
      <c r="L215" s="5"/>
      <c r="W215" s="5"/>
    </row>
    <row r="216" spans="12:23">
      <c r="L216" s="5"/>
      <c r="W216" s="5"/>
    </row>
    <row r="217" spans="12:23">
      <c r="L217" s="5"/>
      <c r="W217" s="5"/>
    </row>
    <row r="218" spans="12:23">
      <c r="L218" s="5"/>
      <c r="W218" s="5"/>
    </row>
    <row r="219" spans="12:23">
      <c r="L219" s="5"/>
      <c r="W219" s="5"/>
    </row>
    <row r="220" spans="12:23">
      <c r="L220" s="5"/>
      <c r="W220" s="5"/>
    </row>
    <row r="221" spans="12:23">
      <c r="L221" s="5"/>
      <c r="W221" s="5"/>
    </row>
    <row r="222" spans="12:23">
      <c r="L222" s="5"/>
      <c r="W222" s="5"/>
    </row>
    <row r="223" spans="12:23">
      <c r="L223" s="5"/>
      <c r="W223" s="5"/>
    </row>
    <row r="224" spans="12:23">
      <c r="L224" s="5"/>
      <c r="W224" s="5"/>
    </row>
    <row r="225" spans="12:23">
      <c r="L225" s="5"/>
      <c r="W225" s="5"/>
    </row>
    <row r="226" spans="12:23">
      <c r="L226" s="5"/>
      <c r="W226" s="5"/>
    </row>
    <row r="227" spans="12:23">
      <c r="L227" s="5"/>
      <c r="W227" s="5"/>
    </row>
    <row r="228" spans="12:23">
      <c r="L228" s="5"/>
      <c r="W228" s="5"/>
    </row>
    <row r="229" spans="12:23">
      <c r="L229" s="5"/>
      <c r="W229" s="5"/>
    </row>
    <row r="230" spans="12:23">
      <c r="L230" s="5"/>
      <c r="W230" s="5"/>
    </row>
    <row r="231" spans="12:23">
      <c r="L231" s="5"/>
      <c r="W231" s="5"/>
    </row>
    <row r="232" spans="12:23">
      <c r="L232" s="5"/>
      <c r="W232" s="5"/>
    </row>
    <row r="233" spans="12:23">
      <c r="L233" s="5"/>
      <c r="W233" s="5"/>
    </row>
    <row r="234" spans="12:23">
      <c r="L234" s="5"/>
      <c r="W234" s="5"/>
    </row>
    <row r="235" spans="12:23">
      <c r="L235" s="5"/>
      <c r="W235" s="5"/>
    </row>
    <row r="236" spans="12:23">
      <c r="L236" s="5"/>
      <c r="W236" s="5"/>
    </row>
    <row r="237" spans="12:23">
      <c r="L237" s="5"/>
      <c r="W237" s="5"/>
    </row>
    <row r="238" spans="12:23">
      <c r="L238" s="5"/>
      <c r="W238" s="5"/>
    </row>
    <row r="239" spans="12:23">
      <c r="L239" s="5"/>
      <c r="W239" s="5"/>
    </row>
    <row r="240" spans="12:23">
      <c r="L240" s="5"/>
      <c r="W240" s="5"/>
    </row>
    <row r="241" spans="12:23">
      <c r="L241" s="5"/>
      <c r="W241" s="5"/>
    </row>
    <row r="242" spans="12:23">
      <c r="L242" s="5"/>
      <c r="W242" s="5"/>
    </row>
    <row r="243" spans="12:23">
      <c r="L243" s="5"/>
      <c r="W243" s="5"/>
    </row>
    <row r="244" spans="12:23">
      <c r="L244" s="5"/>
      <c r="W244" s="5"/>
    </row>
    <row r="245" spans="12:23">
      <c r="L245" s="5"/>
      <c r="W245" s="5"/>
    </row>
    <row r="246" spans="12:23">
      <c r="L246" s="5"/>
      <c r="W246" s="5"/>
    </row>
    <row r="247" spans="12:23">
      <c r="L247" s="5"/>
      <c r="W247" s="5"/>
    </row>
    <row r="248" spans="12:23">
      <c r="L248" s="5"/>
      <c r="W248" s="5"/>
    </row>
    <row r="249" spans="12:23">
      <c r="L249" s="5"/>
      <c r="W249" s="5"/>
    </row>
    <row r="250" spans="12:23">
      <c r="L250" s="5"/>
      <c r="W250" s="5"/>
    </row>
    <row r="251" spans="12:23">
      <c r="L251" s="5"/>
      <c r="W251" s="5"/>
    </row>
    <row r="252" spans="12:23">
      <c r="L252" s="5"/>
      <c r="W252" s="5"/>
    </row>
    <row r="253" spans="12:23">
      <c r="L253" s="5"/>
      <c r="W253" s="5"/>
    </row>
    <row r="254" spans="12:23">
      <c r="L254" s="5"/>
      <c r="W254" s="5"/>
    </row>
    <row r="255" spans="12:23">
      <c r="L255" s="5"/>
      <c r="W255" s="5"/>
    </row>
    <row r="256" spans="12:23">
      <c r="L256" s="5"/>
      <c r="W256" s="5"/>
    </row>
    <row r="257" spans="12:23">
      <c r="L257" s="5"/>
      <c r="W257" s="5"/>
    </row>
    <row r="258" spans="12:23">
      <c r="L258" s="5"/>
      <c r="W258" s="5"/>
    </row>
    <row r="259" spans="12:23">
      <c r="L259" s="5"/>
      <c r="W259" s="5"/>
    </row>
    <row r="260" spans="12:23">
      <c r="L260" s="5"/>
      <c r="W260" s="5"/>
    </row>
    <row r="261" spans="12:23">
      <c r="L261" s="5"/>
      <c r="W261" s="5"/>
    </row>
    <row r="262" spans="12:23">
      <c r="L262" s="5"/>
      <c r="W262" s="5"/>
    </row>
    <row r="263" spans="12:23">
      <c r="L263" s="5"/>
      <c r="W263" s="5"/>
    </row>
    <row r="264" spans="12:23">
      <c r="L264" s="5"/>
      <c r="W264" s="5"/>
    </row>
    <row r="265" spans="12:23">
      <c r="L265" s="5"/>
      <c r="W265" s="5"/>
    </row>
    <row r="266" spans="12:23">
      <c r="L266" s="5"/>
      <c r="W266" s="5"/>
    </row>
    <row r="267" spans="12:23">
      <c r="L267" s="5"/>
      <c r="W267" s="5"/>
    </row>
    <row r="268" spans="12:23">
      <c r="L268" s="5"/>
      <c r="W268" s="5"/>
    </row>
    <row r="269" spans="12:23">
      <c r="L269" s="5"/>
      <c r="W269" s="5"/>
    </row>
    <row r="270" spans="12:23">
      <c r="L270" s="5"/>
      <c r="W270" s="5"/>
    </row>
    <row r="271" spans="12:23">
      <c r="L271" s="5"/>
      <c r="W271" s="5"/>
    </row>
    <row r="272" spans="12:23">
      <c r="L272" s="5"/>
      <c r="W272" s="5"/>
    </row>
    <row r="273" spans="12:23">
      <c r="L273" s="5"/>
      <c r="W273" s="5"/>
    </row>
    <row r="274" spans="12:23">
      <c r="L274" s="5"/>
      <c r="W274" s="5"/>
    </row>
    <row r="275" spans="12:23">
      <c r="L275" s="5"/>
      <c r="W275" s="5"/>
    </row>
    <row r="276" spans="12:23">
      <c r="L276" s="5"/>
      <c r="W276" s="5"/>
    </row>
    <row r="277" spans="12:23">
      <c r="L277" s="5"/>
      <c r="W277" s="5"/>
    </row>
    <row r="278" spans="12:23">
      <c r="L278" s="5"/>
      <c r="W278" s="5"/>
    </row>
    <row r="279" spans="12:23">
      <c r="L279" s="5"/>
      <c r="W279" s="5"/>
    </row>
    <row r="280" spans="12:23">
      <c r="L280" s="5"/>
      <c r="W280" s="5"/>
    </row>
    <row r="281" spans="12:23">
      <c r="L281" s="5"/>
      <c r="W281" s="5"/>
    </row>
    <row r="282" spans="12:23">
      <c r="L282" s="5"/>
      <c r="W282" s="5"/>
    </row>
    <row r="283" spans="12:23">
      <c r="L283" s="5"/>
      <c r="W283" s="5"/>
    </row>
    <row r="284" spans="12:23">
      <c r="L284" s="5"/>
      <c r="W284" s="5"/>
    </row>
    <row r="285" spans="12:23">
      <c r="L285" s="5"/>
      <c r="W285" s="5"/>
    </row>
    <row r="286" spans="12:23">
      <c r="L286" s="5"/>
      <c r="W286" s="5"/>
    </row>
    <row r="287" spans="12:23">
      <c r="L287" s="5"/>
      <c r="W287" s="5"/>
    </row>
    <row r="288" spans="12:23">
      <c r="L288" s="5"/>
      <c r="W288" s="5"/>
    </row>
    <row r="289" spans="12:23">
      <c r="L289" s="5"/>
      <c r="W289" s="5"/>
    </row>
    <row r="290" spans="12:23">
      <c r="L290" s="5"/>
      <c r="W290" s="5"/>
    </row>
    <row r="291" spans="12:23">
      <c r="L291" s="5"/>
      <c r="W291" s="5"/>
    </row>
    <row r="292" spans="12:23">
      <c r="L292" s="5"/>
      <c r="W292" s="5"/>
    </row>
    <row r="293" spans="12:23">
      <c r="L293" s="5"/>
      <c r="W293" s="5"/>
    </row>
    <row r="294" spans="12:23">
      <c r="L294" s="5"/>
      <c r="W294" s="5"/>
    </row>
    <row r="295" spans="12:23">
      <c r="L295" s="5"/>
      <c r="W295" s="5"/>
    </row>
    <row r="296" spans="12:23">
      <c r="L296" s="5"/>
      <c r="W296" s="5"/>
    </row>
    <row r="297" spans="12:23">
      <c r="L297" s="5"/>
      <c r="W297" s="5"/>
    </row>
    <row r="298" spans="12:23">
      <c r="L298" s="5"/>
      <c r="W298" s="5"/>
    </row>
    <row r="299" spans="12:23">
      <c r="L299" s="5"/>
      <c r="W299" s="5"/>
    </row>
    <row r="300" spans="12:23">
      <c r="L300" s="5"/>
      <c r="W300" s="5"/>
    </row>
    <row r="301" spans="12:23">
      <c r="L301" s="5"/>
      <c r="W301" s="5"/>
    </row>
    <row r="302" spans="12:23">
      <c r="L302" s="5"/>
      <c r="W302" s="5"/>
    </row>
    <row r="303" spans="12:23">
      <c r="L303" s="5"/>
      <c r="W303" s="5"/>
    </row>
    <row r="304" spans="12:23">
      <c r="L304" s="5"/>
      <c r="W304" s="5"/>
    </row>
    <row r="305" spans="12:23">
      <c r="L305" s="5"/>
      <c r="W305" s="5"/>
    </row>
    <row r="306" spans="12:23">
      <c r="L306" s="5"/>
      <c r="W306" s="5"/>
    </row>
    <row r="307" spans="12:23">
      <c r="L307" s="5"/>
      <c r="W307" s="5"/>
    </row>
    <row r="308" spans="12:23">
      <c r="L308" s="5"/>
      <c r="W308" s="5"/>
    </row>
    <row r="309" spans="12:23">
      <c r="L309" s="5"/>
      <c r="W309" s="5"/>
    </row>
    <row r="310" spans="12:23">
      <c r="L310" s="5"/>
      <c r="W310" s="5"/>
    </row>
    <row r="311" spans="12:23">
      <c r="L311" s="5"/>
      <c r="W311" s="5"/>
    </row>
    <row r="312" spans="12:23">
      <c r="L312" s="5"/>
      <c r="W312" s="5"/>
    </row>
    <row r="313" spans="12:23">
      <c r="L313" s="5"/>
      <c r="W313" s="5"/>
    </row>
    <row r="314" spans="12:23">
      <c r="L314" s="5"/>
      <c r="W314" s="5"/>
    </row>
    <row r="315" spans="12:23">
      <c r="L315" s="5"/>
      <c r="W315" s="5"/>
    </row>
    <row r="316" spans="12:23">
      <c r="L316" s="5"/>
      <c r="W316" s="5"/>
    </row>
    <row r="317" spans="12:23">
      <c r="L317" s="5"/>
      <c r="W317" s="5"/>
    </row>
    <row r="318" spans="12:23">
      <c r="L318" s="5"/>
      <c r="W318" s="5"/>
    </row>
    <row r="319" spans="12:23">
      <c r="L319" s="5"/>
      <c r="W319" s="5"/>
    </row>
    <row r="320" spans="12:23">
      <c r="L320" s="5"/>
      <c r="W320" s="5"/>
    </row>
    <row r="321" spans="12:23">
      <c r="L321" s="5"/>
      <c r="W321" s="5"/>
    </row>
    <row r="322" spans="12:23">
      <c r="L322" s="5"/>
      <c r="W322" s="5"/>
    </row>
    <row r="323" spans="12:23">
      <c r="L323" s="5"/>
      <c r="W323" s="5"/>
    </row>
    <row r="324" spans="12:23">
      <c r="L324" s="5"/>
      <c r="W324" s="5"/>
    </row>
    <row r="325" spans="12:23">
      <c r="L325" s="5"/>
      <c r="W325" s="5"/>
    </row>
    <row r="326" spans="12:23">
      <c r="L326" s="5"/>
      <c r="W326" s="5"/>
    </row>
    <row r="327" spans="12:23">
      <c r="L327" s="5"/>
      <c r="W327" s="5"/>
    </row>
    <row r="328" spans="12:23">
      <c r="L328" s="5"/>
      <c r="W328" s="5"/>
    </row>
    <row r="329" spans="12:23">
      <c r="L329" s="5"/>
      <c r="W329" s="5"/>
    </row>
    <row r="330" spans="12:23">
      <c r="L330" s="5"/>
      <c r="W330" s="5"/>
    </row>
    <row r="331" spans="12:23">
      <c r="L331" s="5"/>
      <c r="W331" s="5"/>
    </row>
    <row r="332" spans="12:23">
      <c r="L332" s="5"/>
      <c r="W332" s="5"/>
    </row>
    <row r="333" spans="12:23">
      <c r="L333" s="5"/>
      <c r="W333" s="5"/>
    </row>
    <row r="334" spans="12:23">
      <c r="L334" s="5"/>
      <c r="W334" s="5"/>
    </row>
    <row r="335" spans="12:23">
      <c r="L335" s="5"/>
      <c r="W335" s="5"/>
    </row>
    <row r="336" spans="12:23">
      <c r="L336" s="5"/>
      <c r="W336" s="5"/>
    </row>
    <row r="337" spans="12:23">
      <c r="L337" s="5"/>
      <c r="W337" s="5"/>
    </row>
    <row r="338" spans="12:23">
      <c r="L338" s="5"/>
      <c r="W338" s="5"/>
    </row>
    <row r="339" spans="12:23">
      <c r="L339" s="5"/>
      <c r="W339" s="5"/>
    </row>
    <row r="340" spans="12:23">
      <c r="L340" s="5"/>
      <c r="W340" s="5"/>
    </row>
    <row r="341" spans="12:23">
      <c r="L341" s="5"/>
      <c r="W341" s="5"/>
    </row>
    <row r="342" spans="12:23">
      <c r="L342" s="5"/>
      <c r="W342" s="5"/>
    </row>
    <row r="343" spans="12:23">
      <c r="L343" s="5"/>
      <c r="W343" s="5"/>
    </row>
    <row r="344" spans="12:23">
      <c r="L344" s="5"/>
      <c r="W344" s="5"/>
    </row>
    <row r="345" spans="12:23">
      <c r="L345" s="5"/>
      <c r="W345" s="5"/>
    </row>
    <row r="346" spans="12:23">
      <c r="L346" s="5"/>
      <c r="W346" s="5"/>
    </row>
    <row r="347" spans="12:23">
      <c r="L347" s="5"/>
      <c r="W347" s="5"/>
    </row>
    <row r="348" spans="12:23">
      <c r="L348" s="5"/>
      <c r="W348" s="5"/>
    </row>
    <row r="349" spans="12:23">
      <c r="L349" s="5"/>
      <c r="W349" s="5"/>
    </row>
    <row r="350" spans="12:23">
      <c r="L350" s="5"/>
      <c r="W350" s="5"/>
    </row>
    <row r="351" spans="12:23">
      <c r="L351" s="5"/>
      <c r="W351" s="5"/>
    </row>
    <row r="352" spans="12:23">
      <c r="L352" s="5"/>
      <c r="W352" s="5"/>
    </row>
    <row r="353" spans="12:23">
      <c r="L353" s="5"/>
      <c r="W353" s="5"/>
    </row>
    <row r="354" spans="12:23">
      <c r="L354" s="5"/>
      <c r="W354" s="5"/>
    </row>
    <row r="355" spans="12:23">
      <c r="L355" s="5"/>
      <c r="W355" s="5"/>
    </row>
    <row r="356" spans="12:23">
      <c r="L356" s="5"/>
      <c r="W356" s="5"/>
    </row>
    <row r="357" spans="12:23">
      <c r="L357" s="5"/>
      <c r="W357" s="5"/>
    </row>
    <row r="358" spans="12:23">
      <c r="L358" s="5"/>
      <c r="W358" s="5"/>
    </row>
    <row r="359" spans="12:23">
      <c r="L359" s="5"/>
      <c r="W359" s="5"/>
    </row>
    <row r="360" spans="12:23">
      <c r="L360" s="5"/>
      <c r="W360" s="5"/>
    </row>
    <row r="361" spans="12:23">
      <c r="L361" s="5"/>
      <c r="W361" s="5"/>
    </row>
    <row r="362" spans="12:23">
      <c r="L362" s="5"/>
      <c r="W362" s="5"/>
    </row>
    <row r="363" spans="12:23">
      <c r="L363" s="5"/>
      <c r="W363" s="5"/>
    </row>
    <row r="364" spans="12:23">
      <c r="L364" s="5"/>
      <c r="W364" s="5"/>
    </row>
    <row r="365" spans="12:23">
      <c r="L365" s="5"/>
      <c r="W365" s="5"/>
    </row>
    <row r="366" spans="12:23">
      <c r="L366" s="5"/>
      <c r="W366" s="5"/>
    </row>
    <row r="367" spans="12:23">
      <c r="L367" s="5"/>
      <c r="W367" s="5"/>
    </row>
    <row r="368" spans="12:23">
      <c r="L368" s="5"/>
      <c r="W368" s="5"/>
    </row>
    <row r="369" spans="12:23">
      <c r="L369" s="5"/>
      <c r="W369" s="5"/>
    </row>
    <row r="370" spans="12:23">
      <c r="L370" s="5"/>
      <c r="W370" s="5"/>
    </row>
    <row r="371" spans="12:23">
      <c r="L371" s="5"/>
      <c r="W371" s="5"/>
    </row>
    <row r="372" spans="12:23">
      <c r="L372" s="5"/>
      <c r="W372" s="5"/>
    </row>
    <row r="373" spans="12:23">
      <c r="L373" s="5"/>
      <c r="W373" s="5"/>
    </row>
    <row r="374" spans="12:23">
      <c r="L374" s="5"/>
      <c r="W374" s="5"/>
    </row>
    <row r="375" spans="12:23">
      <c r="L375" s="5"/>
      <c r="W375" s="5"/>
    </row>
    <row r="376" spans="12:23">
      <c r="L376" s="5"/>
      <c r="W376" s="5"/>
    </row>
    <row r="377" spans="12:23">
      <c r="L377" s="5"/>
      <c r="W377" s="5"/>
    </row>
    <row r="378" spans="12:23">
      <c r="L378" s="5"/>
      <c r="W378" s="5"/>
    </row>
    <row r="379" spans="12:23">
      <c r="L379" s="5"/>
      <c r="W379" s="5"/>
    </row>
    <row r="380" spans="12:23">
      <c r="L380" s="5"/>
      <c r="W380" s="5"/>
    </row>
    <row r="381" spans="12:23">
      <c r="L381" s="5"/>
      <c r="W381" s="5"/>
    </row>
    <row r="382" spans="12:23">
      <c r="L382" s="5"/>
      <c r="W382" s="5"/>
    </row>
    <row r="383" spans="12:23">
      <c r="L383" s="5"/>
      <c r="W383" s="5"/>
    </row>
    <row r="384" spans="12:23">
      <c r="L384" s="5"/>
      <c r="W384" s="5"/>
    </row>
    <row r="385" spans="12:23">
      <c r="L385" s="5"/>
      <c r="W385" s="5"/>
    </row>
    <row r="386" spans="12:23">
      <c r="L386" s="5"/>
      <c r="W386" s="5"/>
    </row>
    <row r="387" spans="12:23">
      <c r="L387" s="5"/>
      <c r="W387" s="5"/>
    </row>
    <row r="388" spans="12:23">
      <c r="L388" s="5"/>
      <c r="W388" s="5"/>
    </row>
    <row r="389" spans="12:23">
      <c r="L389" s="5"/>
      <c r="W389" s="5"/>
    </row>
    <row r="390" spans="12:23">
      <c r="L390" s="5"/>
      <c r="W390" s="5"/>
    </row>
    <row r="391" spans="12:23">
      <c r="L391" s="5"/>
      <c r="W391" s="5"/>
    </row>
    <row r="392" spans="12:23">
      <c r="L392" s="5"/>
      <c r="W392" s="5"/>
    </row>
    <row r="393" spans="12:23">
      <c r="L393" s="5"/>
      <c r="W393" s="5"/>
    </row>
    <row r="394" spans="12:23">
      <c r="L394" s="5"/>
      <c r="W394" s="5"/>
    </row>
    <row r="395" spans="12:23">
      <c r="L395" s="5"/>
      <c r="W395" s="5"/>
    </row>
    <row r="396" spans="12:23">
      <c r="L396" s="5"/>
      <c r="W396" s="5"/>
    </row>
    <row r="397" spans="12:23">
      <c r="L397" s="5"/>
      <c r="W397" s="5"/>
    </row>
    <row r="398" spans="12:23">
      <c r="L398" s="5"/>
      <c r="W398" s="5"/>
    </row>
    <row r="399" spans="12:23">
      <c r="L399" s="5"/>
      <c r="W399" s="5"/>
    </row>
    <row r="400" spans="12:23">
      <c r="L400" s="5"/>
      <c r="W400" s="5"/>
    </row>
    <row r="401" spans="12:23">
      <c r="L401" s="5"/>
      <c r="W401" s="5"/>
    </row>
    <row r="402" spans="12:23">
      <c r="L402" s="5"/>
      <c r="W402" s="5"/>
    </row>
    <row r="403" spans="12:23">
      <c r="L403" s="5"/>
      <c r="W403" s="5"/>
    </row>
    <row r="404" spans="12:23">
      <c r="L404" s="5"/>
      <c r="W404" s="5"/>
    </row>
    <row r="405" spans="12:23">
      <c r="L405" s="5"/>
      <c r="W405" s="5"/>
    </row>
    <row r="406" spans="12:23">
      <c r="L406" s="5"/>
      <c r="W406" s="5"/>
    </row>
    <row r="407" spans="12:23">
      <c r="L407" s="5"/>
      <c r="W407" s="5"/>
    </row>
    <row r="408" spans="12:23">
      <c r="L408" s="5"/>
      <c r="W408" s="5"/>
    </row>
    <row r="409" spans="12:23">
      <c r="L409" s="5"/>
      <c r="W409" s="5"/>
    </row>
    <row r="410" spans="12:23">
      <c r="L410" s="5"/>
      <c r="W410" s="5"/>
    </row>
    <row r="411" spans="12:23">
      <c r="L411" s="5"/>
      <c r="W411" s="5"/>
    </row>
    <row r="412" spans="12:23">
      <c r="L412" s="5"/>
      <c r="W412" s="5"/>
    </row>
    <row r="413" spans="12:23">
      <c r="L413" s="5"/>
      <c r="W413" s="5"/>
    </row>
    <row r="414" spans="12:23">
      <c r="L414" s="5"/>
      <c r="W414" s="5"/>
    </row>
    <row r="415" spans="12:23">
      <c r="L415" s="5"/>
      <c r="W415" s="5"/>
    </row>
    <row r="416" spans="12:23">
      <c r="L416" s="5"/>
      <c r="W416" s="5"/>
    </row>
    <row r="417" spans="12:23">
      <c r="L417" s="5"/>
      <c r="W417" s="5"/>
    </row>
    <row r="418" spans="12:23">
      <c r="L418" s="5"/>
      <c r="W418" s="5"/>
    </row>
    <row r="419" spans="12:23">
      <c r="L419" s="5"/>
      <c r="W419" s="5"/>
    </row>
    <row r="420" spans="12:23">
      <c r="L420" s="5"/>
      <c r="W420" s="5"/>
    </row>
    <row r="421" spans="12:23">
      <c r="L421" s="5"/>
      <c r="W421" s="5"/>
    </row>
    <row r="422" spans="12:23">
      <c r="L422" s="5"/>
      <c r="W422" s="5"/>
    </row>
    <row r="423" spans="12:23">
      <c r="L423" s="5"/>
      <c r="W423" s="5"/>
    </row>
    <row r="424" spans="12:23">
      <c r="L424" s="5"/>
      <c r="W424" s="5"/>
    </row>
    <row r="425" spans="12:23">
      <c r="L425" s="5"/>
      <c r="W425" s="5"/>
    </row>
    <row r="426" spans="12:23">
      <c r="L426" s="5"/>
      <c r="W426" s="5"/>
    </row>
    <row r="427" spans="12:23">
      <c r="L427" s="5"/>
      <c r="W427" s="5"/>
    </row>
    <row r="428" spans="12:23">
      <c r="L428" s="5"/>
      <c r="W428" s="5"/>
    </row>
    <row r="429" spans="12:23">
      <c r="L429" s="5"/>
      <c r="W429" s="5"/>
    </row>
    <row r="430" spans="12:23">
      <c r="L430" s="5"/>
      <c r="W430" s="5"/>
    </row>
    <row r="431" spans="12:23">
      <c r="L431" s="5"/>
      <c r="W431" s="5"/>
    </row>
    <row r="432" spans="12:23">
      <c r="L432" s="5"/>
      <c r="W432" s="5"/>
    </row>
    <row r="433" spans="12:23">
      <c r="L433" s="5"/>
      <c r="W433" s="5"/>
    </row>
    <row r="434" spans="12:23">
      <c r="L434" s="5"/>
      <c r="W434" s="5"/>
    </row>
    <row r="435" spans="12:23">
      <c r="L435" s="5"/>
      <c r="W435" s="5"/>
    </row>
    <row r="436" spans="12:23">
      <c r="L436" s="5"/>
      <c r="W436" s="5"/>
    </row>
    <row r="437" spans="12:23">
      <c r="L437" s="5"/>
      <c r="W437" s="5"/>
    </row>
    <row r="438" spans="12:23">
      <c r="L438" s="5"/>
      <c r="W438" s="5"/>
    </row>
    <row r="439" spans="12:23">
      <c r="L439" s="5"/>
      <c r="W439" s="5"/>
    </row>
    <row r="440" spans="12:23">
      <c r="L440" s="5"/>
      <c r="W440" s="5"/>
    </row>
    <row r="441" spans="12:23">
      <c r="L441" s="5"/>
      <c r="W441" s="5"/>
    </row>
    <row r="442" spans="12:23">
      <c r="L442" s="5"/>
      <c r="W442" s="5"/>
    </row>
    <row r="443" spans="12:23">
      <c r="L443" s="5"/>
      <c r="W443" s="5"/>
    </row>
    <row r="444" spans="12:23">
      <c r="L444" s="5"/>
      <c r="W444" s="5"/>
    </row>
    <row r="445" spans="12:23">
      <c r="L445" s="5"/>
      <c r="W445" s="5"/>
    </row>
    <row r="446" spans="12:23">
      <c r="L446" s="5"/>
      <c r="W446" s="5"/>
    </row>
    <row r="447" spans="12:23">
      <c r="L447" s="5"/>
      <c r="W447" s="5"/>
    </row>
    <row r="448" spans="12:23">
      <c r="L448" s="5"/>
      <c r="W448" s="5"/>
    </row>
    <row r="449" spans="12:23">
      <c r="L449" s="5"/>
      <c r="W449" s="5"/>
    </row>
    <row r="450" spans="12:23">
      <c r="L450" s="5"/>
      <c r="W450" s="5"/>
    </row>
    <row r="451" spans="12:23">
      <c r="L451" s="5"/>
      <c r="W451" s="5"/>
    </row>
    <row r="452" spans="12:23">
      <c r="L452" s="5"/>
      <c r="W452" s="5"/>
    </row>
    <row r="453" spans="12:23">
      <c r="L453" s="5"/>
      <c r="W453" s="5"/>
    </row>
    <row r="454" spans="12:23">
      <c r="L454" s="5"/>
      <c r="W454" s="5"/>
    </row>
    <row r="455" spans="12:23">
      <c r="L455" s="5"/>
      <c r="W455" s="5"/>
    </row>
    <row r="456" spans="12:23">
      <c r="L456" s="5"/>
      <c r="W456" s="5"/>
    </row>
    <row r="457" spans="12:23">
      <c r="L457" s="5"/>
      <c r="W457" s="5"/>
    </row>
    <row r="458" spans="12:23">
      <c r="L458" s="5"/>
      <c r="W458" s="5"/>
    </row>
    <row r="459" spans="12:23">
      <c r="L459" s="5"/>
      <c r="W459" s="5"/>
    </row>
    <row r="460" spans="12:23">
      <c r="L460" s="5"/>
      <c r="W460" s="5"/>
    </row>
    <row r="461" spans="12:23">
      <c r="L461" s="5"/>
      <c r="W461" s="5"/>
    </row>
    <row r="462" spans="12:23">
      <c r="L462" s="5"/>
      <c r="W462" s="5"/>
    </row>
    <row r="463" spans="12:23">
      <c r="L463" s="5"/>
      <c r="W463" s="5"/>
    </row>
    <row r="464" spans="12:23">
      <c r="L464" s="5"/>
      <c r="W464" s="5"/>
    </row>
    <row r="465" spans="12:23">
      <c r="L465" s="5"/>
      <c r="W465" s="5"/>
    </row>
    <row r="466" spans="12:23">
      <c r="L466" s="5"/>
      <c r="W466" s="5"/>
    </row>
    <row r="467" spans="12:23">
      <c r="L467" s="5"/>
      <c r="W467" s="5"/>
    </row>
    <row r="468" spans="12:23">
      <c r="L468" s="5"/>
      <c r="W468" s="5"/>
    </row>
    <row r="469" spans="12:23">
      <c r="L469" s="5"/>
      <c r="W469" s="5"/>
    </row>
    <row r="470" spans="12:23">
      <c r="L470" s="5"/>
      <c r="W470" s="5"/>
    </row>
    <row r="471" spans="12:23">
      <c r="L471" s="5"/>
      <c r="W471" s="5"/>
    </row>
    <row r="472" spans="12:23">
      <c r="L472" s="5"/>
      <c r="W472" s="5"/>
    </row>
    <row r="473" spans="12:23">
      <c r="L473" s="5"/>
      <c r="W473" s="5"/>
    </row>
    <row r="474" spans="12:23">
      <c r="L474" s="5"/>
      <c r="W474" s="5"/>
    </row>
    <row r="475" spans="12:23">
      <c r="L475" s="5"/>
      <c r="W475" s="5"/>
    </row>
    <row r="476" spans="12:23">
      <c r="L476" s="5"/>
      <c r="W476" s="5"/>
    </row>
    <row r="477" spans="12:23">
      <c r="L477" s="5"/>
      <c r="W477" s="5"/>
    </row>
    <row r="478" spans="12:23">
      <c r="L478" s="5"/>
      <c r="W478" s="5"/>
    </row>
    <row r="479" spans="12:23">
      <c r="L479" s="5"/>
      <c r="W479" s="5"/>
    </row>
    <row r="480" spans="12:23">
      <c r="L480" s="5"/>
      <c r="W480" s="5"/>
    </row>
    <row r="481" spans="12:23">
      <c r="L481" s="5"/>
      <c r="W481" s="5"/>
    </row>
    <row r="482" spans="12:23">
      <c r="L482" s="5"/>
      <c r="W482" s="5"/>
    </row>
    <row r="483" spans="12:23">
      <c r="L483" s="5"/>
      <c r="W483" s="5"/>
    </row>
    <row r="484" spans="12:23">
      <c r="L484" s="5"/>
      <c r="W484" s="5"/>
    </row>
    <row r="485" spans="12:23">
      <c r="L485" s="5"/>
      <c r="W485" s="5"/>
    </row>
    <row r="486" spans="12:23">
      <c r="L486" s="5"/>
      <c r="W486" s="5"/>
    </row>
    <row r="487" spans="12:23">
      <c r="L487" s="5"/>
      <c r="W487" s="5"/>
    </row>
    <row r="488" spans="12:23">
      <c r="L488" s="5"/>
      <c r="W488" s="5"/>
    </row>
    <row r="489" spans="12:23">
      <c r="L489" s="5"/>
      <c r="W489" s="5"/>
    </row>
    <row r="490" spans="12:23">
      <c r="L490" s="5"/>
      <c r="W490" s="5"/>
    </row>
    <row r="491" spans="12:23">
      <c r="L491" s="5"/>
      <c r="W491" s="5"/>
    </row>
    <row r="492" spans="12:23">
      <c r="L492" s="5"/>
      <c r="W492" s="5"/>
    </row>
    <row r="493" spans="12:23">
      <c r="L493" s="5"/>
      <c r="W493" s="5"/>
    </row>
    <row r="494" spans="12:23">
      <c r="L494" s="5"/>
      <c r="W494" s="5"/>
    </row>
    <row r="495" spans="12:23">
      <c r="L495" s="5"/>
      <c r="W495" s="5"/>
    </row>
    <row r="496" spans="12:23">
      <c r="L496" s="5"/>
      <c r="W496" s="5"/>
    </row>
    <row r="497" spans="12:23">
      <c r="L497" s="5"/>
      <c r="W497" s="5"/>
    </row>
    <row r="498" spans="12:23">
      <c r="L498" s="5"/>
      <c r="W498" s="5"/>
    </row>
    <row r="499" spans="12:23">
      <c r="L499" s="5"/>
      <c r="W499" s="5"/>
    </row>
  </sheetData>
  <mergeCells count="2">
    <mergeCell ref="A1:X1"/>
    <mergeCell ref="A2:X2"/>
  </mergeCells>
  <conditionalFormatting sqref="E4:E499">
    <cfRule type="expression" dxfId="50" priority="1">
      <formula>OR($E4="Blocked",$E4="Needs Action")</formula>
    </cfRule>
    <cfRule type="expression" dxfId="49" priority="2">
      <formula>OR($E4="Waiting on Others",$E4="Pending",$E4="Under Review")</formula>
    </cfRule>
    <cfRule type="expression" dxfId="48" priority="3">
      <formula>OR($E4="In Progress",$E4="Starts 20 May")</formula>
    </cfRule>
    <cfRule type="expression" dxfId="47" priority="4">
      <formula>OR($E4="Complete",$E4="Ready",$E4="Complete / Under Review")</formula>
    </cfRule>
  </conditionalFormatting>
  <conditionalFormatting sqref="N4:T5 N8:T499 N6:N7 P6:T6 Q7:T7">
    <cfRule type="expression" dxfId="46" priority="5">
      <formula>OR($N4="Blocked",$N4="Needs Action")</formula>
    </cfRule>
    <cfRule type="expression" dxfId="45" priority="6">
      <formula>OR($N4="Waiting on Others",$N4="Pending",$N4="Under Review")</formula>
    </cfRule>
    <cfRule type="expression" dxfId="44" priority="7">
      <formula>OR($N4="In Progress",$N4="Starts 20 May")</formula>
    </cfRule>
    <cfRule type="expression" dxfId="43" priority="8">
      <formula>OR($N4="Complete",$N4="Ready",$N4="Complete / Under Review")</formula>
    </cfRule>
  </conditionalFormatting>
  <conditionalFormatting sqref="U4:U499">
    <cfRule type="expression" dxfId="42" priority="9">
      <formula>$U4="No"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300-000000000000}">
          <x14:formula1>
            <xm:f>Lists!$A$4:$A$18</xm:f>
          </x14:formula1>
          <xm:sqref>E4:E499 N4:N499 Q30:T499 O30:P499</xm:sqref>
        </x14:dataValidation>
        <x14:dataValidation type="list" xr:uid="{00000000-0002-0000-0300-000002000000}">
          <x14:formula1>
            <xm:f>Lists!$B$4:$B$7</xm:f>
          </x14:formula1>
          <xm:sqref>F4:F499</xm:sqref>
        </x14:dataValidation>
        <x14:dataValidation type="list" xr:uid="{00000000-0002-0000-0300-000003000000}">
          <x14:formula1>
            <xm:f>Lists!$C$4:$C$8</xm:f>
          </x14:formula1>
          <xm:sqref>D4:D499</xm:sqref>
        </x14:dataValidation>
        <x14:dataValidation type="list" xr:uid="{00000000-0002-0000-0300-000004000000}">
          <x14:formula1>
            <xm:f>Lists!$D$4:$D$10</xm:f>
          </x14:formula1>
          <xm:sqref>G4:G499</xm:sqref>
        </x14:dataValidation>
        <x14:dataValidation type="list" xr:uid="{00000000-0002-0000-0300-000005000000}">
          <x14:formula1>
            <xm:f>Lists!$E$4:$E$5</xm:f>
          </x14:formula1>
          <xm:sqref>U4:U499</xm:sqref>
        </x14:dataValidation>
        <x14:dataValidation type="list" xr:uid="{BF53E12D-16B4-4ABF-A70B-D4F8CE365C55}">
          <x14:formula1>
            <xm:f>Lists!$L$4:$L$18</xm:f>
          </x14:formula1>
          <xm:sqref>O4:T29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8"/>
  <sheetViews>
    <sheetView workbookViewId="0">
      <selection activeCell="L5" sqref="L5"/>
    </sheetView>
  </sheetViews>
  <sheetFormatPr defaultRowHeight="14"/>
  <cols>
    <col min="1" max="11" width="22" customWidth="1"/>
    <col min="12" max="12" width="20" customWidth="1"/>
  </cols>
  <sheetData>
    <row r="1" spans="1:12" ht="20">
      <c r="A1" s="7" t="s">
        <v>30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3" spans="1:12">
      <c r="A3" s="1" t="s">
        <v>31</v>
      </c>
      <c r="B3" s="1" t="s">
        <v>32</v>
      </c>
      <c r="C3" s="1" t="s">
        <v>33</v>
      </c>
      <c r="D3" s="1" t="s">
        <v>34</v>
      </c>
      <c r="E3" s="1" t="s">
        <v>35</v>
      </c>
      <c r="F3" s="1" t="s">
        <v>36</v>
      </c>
      <c r="G3" s="1" t="s">
        <v>37</v>
      </c>
      <c r="H3" s="1" t="s">
        <v>38</v>
      </c>
      <c r="I3" s="1" t="s">
        <v>39</v>
      </c>
      <c r="J3" s="1" t="s">
        <v>40</v>
      </c>
      <c r="K3" s="1" t="s">
        <v>41</v>
      </c>
      <c r="L3" s="1" t="s">
        <v>1156</v>
      </c>
    </row>
    <row r="4" spans="1:12" ht="28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 t="s">
        <v>51</v>
      </c>
      <c r="K4" s="2" t="s">
        <v>43</v>
      </c>
      <c r="L4" s="6" t="s">
        <v>96</v>
      </c>
    </row>
    <row r="5" spans="1:12" ht="28">
      <c r="A5" s="2" t="s">
        <v>52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60</v>
      </c>
      <c r="J5" s="2" t="s">
        <v>61</v>
      </c>
      <c r="K5" s="2" t="s">
        <v>53</v>
      </c>
      <c r="L5" s="6" t="s">
        <v>248</v>
      </c>
    </row>
    <row r="6" spans="1:12">
      <c r="A6" s="2" t="s">
        <v>62</v>
      </c>
      <c r="B6" s="2" t="s">
        <v>63</v>
      </c>
      <c r="C6" s="2" t="s">
        <v>64</v>
      </c>
      <c r="D6" s="2" t="s">
        <v>65</v>
      </c>
      <c r="F6" s="2" t="s">
        <v>66</v>
      </c>
      <c r="G6" s="2" t="s">
        <v>67</v>
      </c>
      <c r="H6" s="2" t="s">
        <v>68</v>
      </c>
      <c r="I6" s="2" t="s">
        <v>69</v>
      </c>
      <c r="J6" s="2" t="s">
        <v>70</v>
      </c>
      <c r="K6" s="2" t="s">
        <v>63</v>
      </c>
      <c r="L6" s="6" t="s">
        <v>32</v>
      </c>
    </row>
    <row r="7" spans="1:12" ht="28">
      <c r="A7" s="2" t="s">
        <v>71</v>
      </c>
      <c r="B7" s="2" t="s">
        <v>72</v>
      </c>
      <c r="C7" s="2" t="s">
        <v>73</v>
      </c>
      <c r="D7" s="2" t="s">
        <v>74</v>
      </c>
      <c r="F7" s="2" t="s">
        <v>75</v>
      </c>
      <c r="G7" s="2" t="s">
        <v>76</v>
      </c>
      <c r="H7" s="2" t="s">
        <v>77</v>
      </c>
      <c r="I7" s="2" t="s">
        <v>78</v>
      </c>
      <c r="J7" s="2" t="s">
        <v>79</v>
      </c>
      <c r="L7" s="6" t="s">
        <v>52</v>
      </c>
    </row>
    <row r="8" spans="1:12">
      <c r="A8" s="2" t="s">
        <v>80</v>
      </c>
      <c r="C8" s="2" t="s">
        <v>67</v>
      </c>
      <c r="D8" s="2" t="s">
        <v>81</v>
      </c>
      <c r="F8" s="2" t="s">
        <v>82</v>
      </c>
      <c r="G8" s="2" t="s">
        <v>83</v>
      </c>
      <c r="H8" s="2" t="s">
        <v>60</v>
      </c>
      <c r="I8" s="2" t="s">
        <v>84</v>
      </c>
      <c r="J8" s="2" t="s">
        <v>85</v>
      </c>
      <c r="L8" s="6" t="s">
        <v>1157</v>
      </c>
    </row>
    <row r="9" spans="1:12" ht="28">
      <c r="A9" s="2" t="s">
        <v>86</v>
      </c>
      <c r="D9" s="2" t="s">
        <v>87</v>
      </c>
      <c r="F9" s="2" t="s">
        <v>88</v>
      </c>
      <c r="G9" s="2" t="s">
        <v>89</v>
      </c>
      <c r="H9" s="2" t="s">
        <v>90</v>
      </c>
      <c r="I9" s="2" t="s">
        <v>91</v>
      </c>
      <c r="J9" s="2" t="s">
        <v>92</v>
      </c>
    </row>
    <row r="10" spans="1:12">
      <c r="A10" s="2" t="s">
        <v>93</v>
      </c>
      <c r="D10" s="2" t="s">
        <v>72</v>
      </c>
      <c r="G10" s="2" t="s">
        <v>94</v>
      </c>
      <c r="I10" s="2" t="s">
        <v>95</v>
      </c>
    </row>
    <row r="11" spans="1:12">
      <c r="A11" s="2" t="s">
        <v>96</v>
      </c>
      <c r="I11" s="2" t="s">
        <v>97</v>
      </c>
    </row>
    <row r="12" spans="1:12">
      <c r="A12" s="2" t="s">
        <v>98</v>
      </c>
      <c r="I12" s="2" t="s">
        <v>99</v>
      </c>
    </row>
    <row r="13" spans="1:12">
      <c r="A13" s="2" t="s">
        <v>100</v>
      </c>
    </row>
    <row r="14" spans="1:12">
      <c r="A14" s="2" t="s">
        <v>101</v>
      </c>
    </row>
    <row r="15" spans="1:12">
      <c r="A15" s="2" t="s">
        <v>102</v>
      </c>
    </row>
    <row r="16" spans="1:12">
      <c r="A16" s="2" t="s">
        <v>103</v>
      </c>
    </row>
    <row r="17" spans="1:1">
      <c r="A17" s="2" t="s">
        <v>104</v>
      </c>
    </row>
    <row r="18" spans="1:1">
      <c r="A18" s="2" t="s">
        <v>72</v>
      </c>
    </row>
  </sheetData>
  <mergeCells count="1"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7"/>
  <sheetViews>
    <sheetView zoomScale="70" zoomScaleNormal="70" workbookViewId="0">
      <selection activeCell="H8" sqref="H8"/>
    </sheetView>
  </sheetViews>
  <sheetFormatPr defaultRowHeight="14"/>
  <cols>
    <col min="1" max="1" width="18" customWidth="1"/>
    <col min="2" max="4" width="16" customWidth="1"/>
    <col min="5" max="5" width="38" customWidth="1"/>
    <col min="6" max="9" width="16" customWidth="1"/>
    <col min="10" max="11" width="14" customWidth="1"/>
    <col min="12" max="12" width="38" customWidth="1"/>
  </cols>
  <sheetData>
    <row r="1" spans="1:12" ht="20">
      <c r="A1" s="7" t="s">
        <v>148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>
      <c r="A2" s="9" t="s">
        <v>106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28">
      <c r="A3" s="1" t="s">
        <v>149</v>
      </c>
      <c r="B3" s="1" t="s">
        <v>150</v>
      </c>
      <c r="C3" s="1" t="s">
        <v>151</v>
      </c>
      <c r="D3" s="1" t="s">
        <v>108</v>
      </c>
      <c r="E3" s="1" t="s">
        <v>152</v>
      </c>
      <c r="F3" s="1" t="s">
        <v>153</v>
      </c>
      <c r="G3" s="1" t="s">
        <v>154</v>
      </c>
      <c r="H3" s="1" t="s">
        <v>155</v>
      </c>
      <c r="I3" s="1" t="s">
        <v>156</v>
      </c>
      <c r="J3" s="1" t="s">
        <v>117</v>
      </c>
      <c r="K3" s="1" t="s">
        <v>118</v>
      </c>
      <c r="L3" s="1" t="s">
        <v>18</v>
      </c>
    </row>
    <row r="4" spans="1:12">
      <c r="A4" s="2" t="s">
        <v>157</v>
      </c>
      <c r="B4" s="2">
        <v>1</v>
      </c>
      <c r="C4" s="2" t="s">
        <v>51</v>
      </c>
      <c r="D4" s="2" t="s">
        <v>158</v>
      </c>
      <c r="E4" s="2" t="s">
        <v>159</v>
      </c>
      <c r="F4" s="2" t="s">
        <v>134</v>
      </c>
      <c r="G4" s="2"/>
      <c r="H4" s="2" t="s">
        <v>160</v>
      </c>
      <c r="I4" s="2" t="s">
        <v>42</v>
      </c>
      <c r="J4" s="2" t="s">
        <v>46</v>
      </c>
      <c r="K4" s="2">
        <v>1</v>
      </c>
      <c r="L4" s="2"/>
    </row>
    <row r="5" spans="1:12">
      <c r="A5" s="2" t="s">
        <v>160</v>
      </c>
      <c r="B5" s="2">
        <v>2</v>
      </c>
      <c r="C5" s="2" t="s">
        <v>51</v>
      </c>
      <c r="D5" s="2" t="s">
        <v>325</v>
      </c>
      <c r="E5" s="2" t="s">
        <v>326</v>
      </c>
      <c r="F5" s="2" t="s">
        <v>169</v>
      </c>
      <c r="G5" s="2" t="s">
        <v>157</v>
      </c>
      <c r="H5" s="2" t="s">
        <v>164</v>
      </c>
      <c r="I5" s="2" t="s">
        <v>42</v>
      </c>
      <c r="J5" s="2" t="s">
        <v>46</v>
      </c>
      <c r="K5" s="2">
        <v>2</v>
      </c>
      <c r="L5" s="2"/>
    </row>
    <row r="6" spans="1:12">
      <c r="A6" s="2" t="s">
        <v>164</v>
      </c>
      <c r="B6" s="2">
        <v>3</v>
      </c>
      <c r="C6" s="2" t="s">
        <v>51</v>
      </c>
      <c r="D6" s="2" t="s">
        <v>327</v>
      </c>
      <c r="E6" s="2" t="s">
        <v>328</v>
      </c>
      <c r="F6" s="2" t="s">
        <v>169</v>
      </c>
      <c r="G6" s="2" t="s">
        <v>160</v>
      </c>
      <c r="H6" s="2" t="s">
        <v>161</v>
      </c>
      <c r="I6" s="2" t="s">
        <v>42</v>
      </c>
      <c r="J6" s="2" t="s">
        <v>46</v>
      </c>
      <c r="K6" s="2">
        <v>3</v>
      </c>
      <c r="L6" s="2"/>
    </row>
    <row r="7" spans="1:12">
      <c r="A7" s="2" t="s">
        <v>161</v>
      </c>
      <c r="B7" s="2">
        <v>4</v>
      </c>
      <c r="C7" s="2" t="s">
        <v>51</v>
      </c>
      <c r="D7" s="2" t="s">
        <v>162</v>
      </c>
      <c r="E7" s="2" t="s">
        <v>163</v>
      </c>
      <c r="F7" s="2" t="s">
        <v>134</v>
      </c>
      <c r="G7" s="2" t="s">
        <v>164</v>
      </c>
      <c r="H7" s="2" t="s">
        <v>165</v>
      </c>
      <c r="I7" s="2" t="s">
        <v>42</v>
      </c>
      <c r="J7" s="2" t="s">
        <v>46</v>
      </c>
      <c r="K7" s="2">
        <v>4</v>
      </c>
      <c r="L7" s="2"/>
    </row>
    <row r="8" spans="1:12">
      <c r="A8" s="2" t="s">
        <v>170</v>
      </c>
      <c r="B8" s="2">
        <v>5</v>
      </c>
      <c r="C8" s="2" t="s">
        <v>51</v>
      </c>
      <c r="D8" s="2" t="s">
        <v>329</v>
      </c>
      <c r="E8" s="2" t="s">
        <v>330</v>
      </c>
      <c r="F8" s="2" t="s">
        <v>331</v>
      </c>
      <c r="G8" s="2" t="s">
        <v>161</v>
      </c>
      <c r="H8" s="2" t="s">
        <v>332</v>
      </c>
      <c r="I8" s="2" t="s">
        <v>42</v>
      </c>
      <c r="J8" s="2" t="s">
        <v>46</v>
      </c>
      <c r="K8" s="2">
        <v>5</v>
      </c>
      <c r="L8" s="2"/>
    </row>
    <row r="9" spans="1:12">
      <c r="A9" s="2" t="s">
        <v>176</v>
      </c>
      <c r="B9" s="2">
        <v>6</v>
      </c>
      <c r="C9" s="2" t="s">
        <v>51</v>
      </c>
      <c r="D9" s="2" t="s">
        <v>333</v>
      </c>
      <c r="E9" s="2" t="s">
        <v>334</v>
      </c>
      <c r="F9" s="2" t="s">
        <v>331</v>
      </c>
      <c r="G9" s="2" t="s">
        <v>164</v>
      </c>
      <c r="H9" s="2" t="s">
        <v>335</v>
      </c>
      <c r="I9" s="2" t="s">
        <v>42</v>
      </c>
      <c r="J9" s="2" t="s">
        <v>46</v>
      </c>
      <c r="K9" s="2">
        <v>6</v>
      </c>
      <c r="L9" s="2"/>
    </row>
    <row r="10" spans="1:12">
      <c r="A10" s="2" t="s">
        <v>336</v>
      </c>
      <c r="B10" s="2">
        <v>7</v>
      </c>
      <c r="C10" s="2" t="s">
        <v>51</v>
      </c>
      <c r="D10" s="2" t="s">
        <v>337</v>
      </c>
      <c r="E10" s="2" t="s">
        <v>338</v>
      </c>
      <c r="F10" s="2" t="s">
        <v>180</v>
      </c>
      <c r="G10" s="2" t="s">
        <v>161</v>
      </c>
      <c r="H10" s="2" t="s">
        <v>339</v>
      </c>
      <c r="I10" s="2" t="s">
        <v>42</v>
      </c>
      <c r="J10" s="2" t="s">
        <v>46</v>
      </c>
      <c r="K10" s="2">
        <v>7</v>
      </c>
      <c r="L10" s="2"/>
    </row>
    <row r="11" spans="1:12">
      <c r="A11" s="2" t="s">
        <v>340</v>
      </c>
      <c r="B11" s="2">
        <v>8</v>
      </c>
      <c r="C11" s="2" t="s">
        <v>51</v>
      </c>
      <c r="D11" s="2" t="s">
        <v>341</v>
      </c>
      <c r="E11" s="2" t="s">
        <v>342</v>
      </c>
      <c r="F11" s="2" t="s">
        <v>343</v>
      </c>
      <c r="G11" s="2" t="s">
        <v>170</v>
      </c>
      <c r="H11" s="2" t="s">
        <v>171</v>
      </c>
      <c r="I11" s="2" t="s">
        <v>42</v>
      </c>
      <c r="J11" s="2" t="s">
        <v>46</v>
      </c>
      <c r="K11" s="2">
        <v>8</v>
      </c>
      <c r="L11" s="2"/>
    </row>
    <row r="12" spans="1:12">
      <c r="A12" s="2" t="s">
        <v>166</v>
      </c>
      <c r="B12" s="2">
        <v>9</v>
      </c>
      <c r="C12" s="2" t="s">
        <v>51</v>
      </c>
      <c r="D12" s="2" t="s">
        <v>167</v>
      </c>
      <c r="E12" s="2" t="s">
        <v>168</v>
      </c>
      <c r="F12" s="2" t="s">
        <v>169</v>
      </c>
      <c r="G12" s="2" t="s">
        <v>170</v>
      </c>
      <c r="H12" s="2" t="s">
        <v>171</v>
      </c>
      <c r="I12" s="2" t="s">
        <v>42</v>
      </c>
      <c r="J12" s="2" t="s">
        <v>46</v>
      </c>
      <c r="K12" s="2">
        <v>9</v>
      </c>
      <c r="L12" s="2"/>
    </row>
    <row r="13" spans="1:12" ht="42">
      <c r="A13" s="2" t="s">
        <v>172</v>
      </c>
      <c r="B13" s="2">
        <v>10</v>
      </c>
      <c r="C13" s="2" t="s">
        <v>61</v>
      </c>
      <c r="D13" s="2" t="s">
        <v>173</v>
      </c>
      <c r="E13" s="2" t="s">
        <v>174</v>
      </c>
      <c r="F13" s="2" t="s">
        <v>175</v>
      </c>
      <c r="G13" s="2" t="s">
        <v>176</v>
      </c>
      <c r="H13" s="2" t="s">
        <v>177</v>
      </c>
      <c r="I13" s="2" t="s">
        <v>42</v>
      </c>
      <c r="J13" s="2" t="s">
        <v>46</v>
      </c>
      <c r="K13" s="2">
        <v>10</v>
      </c>
      <c r="L13" s="2"/>
    </row>
    <row r="14" spans="1:12">
      <c r="A14" s="2" t="s">
        <v>344</v>
      </c>
      <c r="B14" s="2">
        <v>11</v>
      </c>
      <c r="C14" s="2" t="s">
        <v>61</v>
      </c>
      <c r="D14" s="2" t="s">
        <v>345</v>
      </c>
      <c r="E14" s="2" t="s">
        <v>346</v>
      </c>
      <c r="F14" s="2" t="s">
        <v>175</v>
      </c>
      <c r="G14" s="2" t="s">
        <v>176</v>
      </c>
      <c r="H14" s="2" t="s">
        <v>347</v>
      </c>
      <c r="I14" s="2" t="s">
        <v>42</v>
      </c>
      <c r="J14" s="2" t="s">
        <v>46</v>
      </c>
      <c r="K14" s="2">
        <v>11</v>
      </c>
      <c r="L14" s="2"/>
    </row>
    <row r="15" spans="1:12">
      <c r="A15" s="2" t="s">
        <v>348</v>
      </c>
      <c r="B15" s="2">
        <v>12</v>
      </c>
      <c r="C15" s="2" t="s">
        <v>61</v>
      </c>
      <c r="D15" s="2" t="s">
        <v>349</v>
      </c>
      <c r="E15" s="2" t="s">
        <v>350</v>
      </c>
      <c r="F15" s="2" t="s">
        <v>196</v>
      </c>
      <c r="G15" s="2" t="s">
        <v>344</v>
      </c>
      <c r="H15" s="2" t="s">
        <v>351</v>
      </c>
      <c r="I15" s="2" t="s">
        <v>42</v>
      </c>
      <c r="J15" s="2" t="s">
        <v>46</v>
      </c>
      <c r="K15" s="2">
        <v>12</v>
      </c>
      <c r="L15" s="2"/>
    </row>
    <row r="16" spans="1:12">
      <c r="A16" s="2" t="s">
        <v>352</v>
      </c>
      <c r="B16" s="2">
        <v>13</v>
      </c>
      <c r="C16" s="2" t="s">
        <v>61</v>
      </c>
      <c r="D16" s="2" t="s">
        <v>353</v>
      </c>
      <c r="E16" s="2" t="s">
        <v>354</v>
      </c>
      <c r="F16" s="2" t="s">
        <v>196</v>
      </c>
      <c r="G16" s="2" t="s">
        <v>348</v>
      </c>
      <c r="H16" s="2" t="s">
        <v>355</v>
      </c>
      <c r="I16" s="2" t="s">
        <v>42</v>
      </c>
      <c r="J16" s="2" t="s">
        <v>46</v>
      </c>
      <c r="K16" s="2">
        <v>13</v>
      </c>
      <c r="L16" s="2"/>
    </row>
    <row r="17" spans="1:12">
      <c r="A17" s="2" t="s">
        <v>356</v>
      </c>
      <c r="B17" s="2">
        <v>14</v>
      </c>
      <c r="C17" s="2" t="s">
        <v>61</v>
      </c>
      <c r="D17" s="2" t="s">
        <v>357</v>
      </c>
      <c r="E17" s="2" t="s">
        <v>358</v>
      </c>
      <c r="F17" s="2" t="s">
        <v>359</v>
      </c>
      <c r="G17" s="2" t="s">
        <v>352</v>
      </c>
      <c r="H17" s="2" t="s">
        <v>360</v>
      </c>
      <c r="I17" s="2" t="s">
        <v>42</v>
      </c>
      <c r="J17" s="2" t="s">
        <v>46</v>
      </c>
      <c r="K17" s="2">
        <v>14</v>
      </c>
      <c r="L17" s="2"/>
    </row>
    <row r="18" spans="1:12">
      <c r="A18" s="2" t="s">
        <v>177</v>
      </c>
      <c r="B18" s="2">
        <v>15</v>
      </c>
      <c r="C18" s="2" t="s">
        <v>70</v>
      </c>
      <c r="D18" s="2" t="s">
        <v>178</v>
      </c>
      <c r="E18" s="2" t="s">
        <v>179</v>
      </c>
      <c r="F18" s="2" t="s">
        <v>180</v>
      </c>
      <c r="G18" s="2" t="s">
        <v>181</v>
      </c>
      <c r="H18" s="2" t="s">
        <v>182</v>
      </c>
      <c r="I18" s="2" t="s">
        <v>42</v>
      </c>
      <c r="J18" s="2" t="s">
        <v>46</v>
      </c>
      <c r="K18" s="2">
        <v>15</v>
      </c>
      <c r="L18" s="2"/>
    </row>
    <row r="19" spans="1:12">
      <c r="A19" s="2" t="s">
        <v>182</v>
      </c>
      <c r="B19" s="2">
        <v>16</v>
      </c>
      <c r="C19" s="2" t="s">
        <v>70</v>
      </c>
      <c r="D19" s="2" t="s">
        <v>361</v>
      </c>
      <c r="E19" s="2" t="s">
        <v>362</v>
      </c>
      <c r="F19" s="2" t="s">
        <v>175</v>
      </c>
      <c r="G19" s="2" t="s">
        <v>177</v>
      </c>
      <c r="H19" s="2" t="s">
        <v>363</v>
      </c>
      <c r="I19" s="2" t="s">
        <v>42</v>
      </c>
      <c r="J19" s="2" t="s">
        <v>46</v>
      </c>
      <c r="K19" s="2">
        <v>16</v>
      </c>
      <c r="L19" s="2"/>
    </row>
    <row r="20" spans="1:12">
      <c r="A20" s="2" t="s">
        <v>183</v>
      </c>
      <c r="B20" s="2">
        <v>17</v>
      </c>
      <c r="C20" s="2" t="s">
        <v>70</v>
      </c>
      <c r="D20" s="2" t="s">
        <v>184</v>
      </c>
      <c r="E20" s="2" t="s">
        <v>185</v>
      </c>
      <c r="F20" s="2" t="s">
        <v>175</v>
      </c>
      <c r="G20" s="2" t="s">
        <v>186</v>
      </c>
      <c r="H20" s="2" t="s">
        <v>187</v>
      </c>
      <c r="I20" s="2" t="s">
        <v>42</v>
      </c>
      <c r="J20" s="2" t="s">
        <v>46</v>
      </c>
      <c r="K20" s="2">
        <v>17</v>
      </c>
      <c r="L20" s="2"/>
    </row>
    <row r="21" spans="1:12">
      <c r="A21" s="2" t="s">
        <v>364</v>
      </c>
      <c r="B21" s="2">
        <v>18</v>
      </c>
      <c r="C21" s="2" t="s">
        <v>70</v>
      </c>
      <c r="D21" s="2" t="s">
        <v>365</v>
      </c>
      <c r="E21" s="2" t="s">
        <v>366</v>
      </c>
      <c r="F21" s="2" t="s">
        <v>367</v>
      </c>
      <c r="G21" s="2" t="s">
        <v>368</v>
      </c>
      <c r="H21" s="2" t="s">
        <v>369</v>
      </c>
      <c r="I21" s="2" t="s">
        <v>42</v>
      </c>
      <c r="J21" s="2" t="s">
        <v>46</v>
      </c>
      <c r="K21" s="2">
        <v>18</v>
      </c>
      <c r="L21" s="2"/>
    </row>
    <row r="22" spans="1:12">
      <c r="A22" s="2" t="s">
        <v>370</v>
      </c>
      <c r="B22" s="2">
        <v>19</v>
      </c>
      <c r="C22" s="2" t="s">
        <v>70</v>
      </c>
      <c r="D22" s="2" t="s">
        <v>371</v>
      </c>
      <c r="E22" s="2" t="s">
        <v>372</v>
      </c>
      <c r="F22" s="2" t="s">
        <v>367</v>
      </c>
      <c r="G22" s="2" t="s">
        <v>364</v>
      </c>
      <c r="H22" s="2" t="s">
        <v>373</v>
      </c>
      <c r="I22" s="2" t="s">
        <v>42</v>
      </c>
      <c r="J22" s="2" t="s">
        <v>46</v>
      </c>
      <c r="K22" s="2">
        <v>19</v>
      </c>
      <c r="L22" s="2"/>
    </row>
    <row r="23" spans="1:12">
      <c r="A23" s="2" t="s">
        <v>373</v>
      </c>
      <c r="B23" s="2">
        <v>20</v>
      </c>
      <c r="C23" s="2" t="s">
        <v>70</v>
      </c>
      <c r="D23" s="2" t="s">
        <v>374</v>
      </c>
      <c r="E23" s="2" t="s">
        <v>375</v>
      </c>
      <c r="F23" s="2" t="s">
        <v>376</v>
      </c>
      <c r="G23" s="2" t="s">
        <v>370</v>
      </c>
      <c r="H23" s="2" t="s">
        <v>377</v>
      </c>
      <c r="I23" s="2" t="s">
        <v>42</v>
      </c>
      <c r="J23" s="2" t="s">
        <v>46</v>
      </c>
      <c r="K23" s="2">
        <v>20</v>
      </c>
      <c r="L23" s="2"/>
    </row>
    <row r="24" spans="1:12">
      <c r="A24" s="2" t="s">
        <v>378</v>
      </c>
      <c r="B24" s="2">
        <v>21</v>
      </c>
      <c r="C24" s="2" t="s">
        <v>70</v>
      </c>
      <c r="D24" s="2" t="s">
        <v>379</v>
      </c>
      <c r="E24" s="2" t="s">
        <v>380</v>
      </c>
      <c r="F24" s="2" t="s">
        <v>169</v>
      </c>
      <c r="G24" s="2" t="s">
        <v>363</v>
      </c>
      <c r="H24" s="2" t="s">
        <v>381</v>
      </c>
      <c r="I24" s="2" t="s">
        <v>42</v>
      </c>
      <c r="J24" s="2" t="s">
        <v>46</v>
      </c>
      <c r="K24" s="2">
        <v>21</v>
      </c>
      <c r="L24" s="2"/>
    </row>
    <row r="25" spans="1:12">
      <c r="A25" s="2" t="s">
        <v>381</v>
      </c>
      <c r="B25" s="2">
        <v>22</v>
      </c>
      <c r="C25" s="2" t="s">
        <v>70</v>
      </c>
      <c r="D25" s="2" t="s">
        <v>382</v>
      </c>
      <c r="E25" s="2" t="s">
        <v>383</v>
      </c>
      <c r="F25" s="2" t="s">
        <v>175</v>
      </c>
      <c r="G25" s="2" t="s">
        <v>378</v>
      </c>
      <c r="H25" s="2" t="s">
        <v>384</v>
      </c>
      <c r="I25" s="2" t="s">
        <v>42</v>
      </c>
      <c r="J25" s="2" t="s">
        <v>46</v>
      </c>
      <c r="K25" s="2">
        <v>22</v>
      </c>
      <c r="L25" s="2"/>
    </row>
    <row r="26" spans="1:12">
      <c r="A26" s="2" t="s">
        <v>384</v>
      </c>
      <c r="B26" s="2">
        <v>23</v>
      </c>
      <c r="C26" s="2" t="s">
        <v>70</v>
      </c>
      <c r="D26" s="2" t="s">
        <v>385</v>
      </c>
      <c r="E26" s="2" t="s">
        <v>386</v>
      </c>
      <c r="F26" s="2" t="s">
        <v>169</v>
      </c>
      <c r="G26" s="2" t="s">
        <v>381</v>
      </c>
      <c r="H26" s="2" t="s">
        <v>387</v>
      </c>
      <c r="I26" s="2" t="s">
        <v>42</v>
      </c>
      <c r="J26" s="2" t="s">
        <v>46</v>
      </c>
      <c r="K26" s="2">
        <v>23</v>
      </c>
      <c r="L26" s="2"/>
    </row>
    <row r="27" spans="1:12">
      <c r="A27" s="2" t="s">
        <v>387</v>
      </c>
      <c r="B27" s="2">
        <v>24</v>
      </c>
      <c r="C27" s="2" t="s">
        <v>70</v>
      </c>
      <c r="D27" s="2" t="s">
        <v>388</v>
      </c>
      <c r="E27" s="2" t="s">
        <v>389</v>
      </c>
      <c r="F27" s="2" t="s">
        <v>390</v>
      </c>
      <c r="G27" s="2" t="s">
        <v>391</v>
      </c>
      <c r="H27" s="2" t="s">
        <v>191</v>
      </c>
      <c r="I27" s="2" t="s">
        <v>42</v>
      </c>
      <c r="J27" s="2" t="s">
        <v>46</v>
      </c>
      <c r="K27" s="2">
        <v>24</v>
      </c>
      <c r="L27" s="2"/>
    </row>
    <row r="28" spans="1:12">
      <c r="A28" s="2" t="s">
        <v>191</v>
      </c>
      <c r="B28" s="2">
        <v>25</v>
      </c>
      <c r="C28" s="2" t="s">
        <v>70</v>
      </c>
      <c r="D28" s="2" t="s">
        <v>392</v>
      </c>
      <c r="E28" s="2" t="s">
        <v>393</v>
      </c>
      <c r="F28" s="2" t="s">
        <v>394</v>
      </c>
      <c r="G28" s="2" t="s">
        <v>387</v>
      </c>
      <c r="H28" s="2" t="s">
        <v>395</v>
      </c>
      <c r="I28" s="2" t="s">
        <v>42</v>
      </c>
      <c r="J28" s="2" t="s">
        <v>46</v>
      </c>
      <c r="K28" s="2">
        <v>25</v>
      </c>
      <c r="L28" s="2"/>
    </row>
    <row r="29" spans="1:12">
      <c r="A29" s="2" t="s">
        <v>188</v>
      </c>
      <c r="B29" s="2">
        <v>26</v>
      </c>
      <c r="C29" s="2" t="s">
        <v>79</v>
      </c>
      <c r="D29" s="2" t="s">
        <v>189</v>
      </c>
      <c r="E29" s="2" t="s">
        <v>190</v>
      </c>
      <c r="F29" s="2" t="s">
        <v>175</v>
      </c>
      <c r="G29" s="2" t="s">
        <v>191</v>
      </c>
      <c r="H29" s="2" t="s">
        <v>192</v>
      </c>
      <c r="I29" s="2" t="s">
        <v>42</v>
      </c>
      <c r="J29" s="2" t="s">
        <v>46</v>
      </c>
      <c r="K29" s="2">
        <v>26</v>
      </c>
      <c r="L29" s="2"/>
    </row>
    <row r="30" spans="1:12">
      <c r="A30" s="2" t="s">
        <v>396</v>
      </c>
      <c r="B30" s="2">
        <v>27</v>
      </c>
      <c r="C30" s="2" t="s">
        <v>79</v>
      </c>
      <c r="D30" s="2" t="s">
        <v>397</v>
      </c>
      <c r="E30" s="2" t="s">
        <v>398</v>
      </c>
      <c r="F30" s="2" t="s">
        <v>399</v>
      </c>
      <c r="G30" s="2" t="s">
        <v>188</v>
      </c>
      <c r="H30" s="2" t="s">
        <v>400</v>
      </c>
      <c r="I30" s="2" t="s">
        <v>42</v>
      </c>
      <c r="J30" s="2" t="s">
        <v>46</v>
      </c>
      <c r="K30" s="2">
        <v>27</v>
      </c>
      <c r="L30" s="2"/>
    </row>
    <row r="31" spans="1:12">
      <c r="A31" s="2" t="s">
        <v>401</v>
      </c>
      <c r="B31" s="2">
        <v>28</v>
      </c>
      <c r="C31" s="2" t="s">
        <v>79</v>
      </c>
      <c r="D31" s="2" t="s">
        <v>402</v>
      </c>
      <c r="E31" s="2" t="s">
        <v>403</v>
      </c>
      <c r="F31" s="2" t="s">
        <v>169</v>
      </c>
      <c r="G31" s="2" t="s">
        <v>191</v>
      </c>
      <c r="H31" s="2" t="s">
        <v>400</v>
      </c>
      <c r="I31" s="2" t="s">
        <v>42</v>
      </c>
      <c r="J31" s="2" t="s">
        <v>46</v>
      </c>
      <c r="K31" s="2">
        <v>28</v>
      </c>
      <c r="L31" s="2"/>
    </row>
    <row r="32" spans="1:12">
      <c r="A32" s="2" t="s">
        <v>400</v>
      </c>
      <c r="B32" s="2">
        <v>29</v>
      </c>
      <c r="C32" s="2" t="s">
        <v>79</v>
      </c>
      <c r="D32" s="2" t="s">
        <v>404</v>
      </c>
      <c r="E32" s="2" t="s">
        <v>405</v>
      </c>
      <c r="F32" s="2" t="s">
        <v>196</v>
      </c>
      <c r="G32" s="2" t="s">
        <v>406</v>
      </c>
      <c r="H32" s="2" t="s">
        <v>407</v>
      </c>
      <c r="I32" s="2" t="s">
        <v>42</v>
      </c>
      <c r="J32" s="2" t="s">
        <v>46</v>
      </c>
      <c r="K32" s="2">
        <v>29</v>
      </c>
      <c r="L32" s="2"/>
    </row>
    <row r="33" spans="1:12">
      <c r="A33" s="2" t="s">
        <v>407</v>
      </c>
      <c r="B33" s="2">
        <v>30</v>
      </c>
      <c r="C33" s="2" t="s">
        <v>79</v>
      </c>
      <c r="D33" s="2" t="s">
        <v>178</v>
      </c>
      <c r="E33" s="2" t="s">
        <v>408</v>
      </c>
      <c r="F33" s="2" t="s">
        <v>180</v>
      </c>
      <c r="G33" s="2" t="s">
        <v>409</v>
      </c>
      <c r="H33" s="2" t="s">
        <v>410</v>
      </c>
      <c r="I33" s="2" t="s">
        <v>42</v>
      </c>
      <c r="J33" s="2" t="s">
        <v>46</v>
      </c>
      <c r="K33" s="2">
        <v>30</v>
      </c>
      <c r="L33" s="2"/>
    </row>
    <row r="34" spans="1:12">
      <c r="A34" s="2" t="s">
        <v>410</v>
      </c>
      <c r="B34" s="2">
        <v>31</v>
      </c>
      <c r="C34" s="2" t="s">
        <v>79</v>
      </c>
      <c r="D34" s="2" t="s">
        <v>361</v>
      </c>
      <c r="E34" s="2" t="s">
        <v>411</v>
      </c>
      <c r="F34" s="2" t="s">
        <v>175</v>
      </c>
      <c r="G34" s="2" t="s">
        <v>407</v>
      </c>
      <c r="H34" s="2" t="s">
        <v>412</v>
      </c>
      <c r="I34" s="2" t="s">
        <v>42</v>
      </c>
      <c r="J34" s="2" t="s">
        <v>46</v>
      </c>
      <c r="K34" s="2">
        <v>31</v>
      </c>
      <c r="L34" s="2"/>
    </row>
    <row r="35" spans="1:12">
      <c r="A35" s="2" t="s">
        <v>413</v>
      </c>
      <c r="B35" s="2">
        <v>32</v>
      </c>
      <c r="C35" s="2" t="s">
        <v>79</v>
      </c>
      <c r="D35" s="2" t="s">
        <v>414</v>
      </c>
      <c r="E35" s="2" t="s">
        <v>415</v>
      </c>
      <c r="F35" s="2" t="s">
        <v>175</v>
      </c>
      <c r="G35" s="2" t="s">
        <v>416</v>
      </c>
      <c r="H35" s="2" t="s">
        <v>417</v>
      </c>
      <c r="I35" s="2" t="s">
        <v>42</v>
      </c>
      <c r="J35" s="2" t="s">
        <v>46</v>
      </c>
      <c r="K35" s="2">
        <v>32</v>
      </c>
      <c r="L35" s="2"/>
    </row>
    <row r="36" spans="1:12">
      <c r="A36" s="2" t="s">
        <v>418</v>
      </c>
      <c r="B36" s="2">
        <v>33</v>
      </c>
      <c r="C36" s="2" t="s">
        <v>79</v>
      </c>
      <c r="D36" s="2" t="s">
        <v>419</v>
      </c>
      <c r="E36" s="2" t="s">
        <v>420</v>
      </c>
      <c r="F36" s="2" t="s">
        <v>367</v>
      </c>
      <c r="G36" s="2" t="s">
        <v>421</v>
      </c>
      <c r="H36" s="2" t="s">
        <v>422</v>
      </c>
      <c r="I36" s="2" t="s">
        <v>42</v>
      </c>
      <c r="J36" s="2" t="s">
        <v>46</v>
      </c>
      <c r="K36" s="2">
        <v>33</v>
      </c>
      <c r="L36" s="2"/>
    </row>
    <row r="37" spans="1:12">
      <c r="A37" s="2" t="s">
        <v>423</v>
      </c>
      <c r="B37" s="2">
        <v>34</v>
      </c>
      <c r="C37" s="2" t="s">
        <v>79</v>
      </c>
      <c r="D37" s="2" t="s">
        <v>371</v>
      </c>
      <c r="E37" s="2" t="s">
        <v>424</v>
      </c>
      <c r="F37" s="2" t="s">
        <v>367</v>
      </c>
      <c r="G37" s="2" t="s">
        <v>418</v>
      </c>
      <c r="H37" s="2" t="s">
        <v>425</v>
      </c>
      <c r="I37" s="2" t="s">
        <v>42</v>
      </c>
      <c r="J37" s="2" t="s">
        <v>46</v>
      </c>
      <c r="K37" s="2">
        <v>34</v>
      </c>
      <c r="L37" s="2"/>
    </row>
    <row r="38" spans="1:12">
      <c r="A38" s="2" t="s">
        <v>425</v>
      </c>
      <c r="B38" s="2">
        <v>35</v>
      </c>
      <c r="C38" s="2" t="s">
        <v>79</v>
      </c>
      <c r="D38" s="2" t="s">
        <v>374</v>
      </c>
      <c r="E38" s="2" t="s">
        <v>426</v>
      </c>
      <c r="F38" s="2" t="s">
        <v>376</v>
      </c>
      <c r="G38" s="2" t="s">
        <v>423</v>
      </c>
      <c r="H38" s="2" t="s">
        <v>427</v>
      </c>
      <c r="I38" s="2" t="s">
        <v>42</v>
      </c>
      <c r="J38" s="2" t="s">
        <v>46</v>
      </c>
      <c r="K38" s="2">
        <v>35</v>
      </c>
      <c r="L38" s="2"/>
    </row>
    <row r="39" spans="1:12">
      <c r="A39" s="2" t="s">
        <v>428</v>
      </c>
      <c r="B39" s="2">
        <v>36</v>
      </c>
      <c r="C39" s="2" t="s">
        <v>79</v>
      </c>
      <c r="D39" s="2" t="s">
        <v>379</v>
      </c>
      <c r="E39" s="2" t="s">
        <v>429</v>
      </c>
      <c r="F39" s="2" t="s">
        <v>169</v>
      </c>
      <c r="G39" s="2" t="s">
        <v>412</v>
      </c>
      <c r="H39" s="2" t="s">
        <v>430</v>
      </c>
      <c r="I39" s="2" t="s">
        <v>42</v>
      </c>
      <c r="J39" s="2" t="s">
        <v>46</v>
      </c>
      <c r="K39" s="2">
        <v>36</v>
      </c>
      <c r="L39" s="2"/>
    </row>
    <row r="40" spans="1:12">
      <c r="A40" s="2" t="s">
        <v>430</v>
      </c>
      <c r="B40" s="2">
        <v>37</v>
      </c>
      <c r="C40" s="2" t="s">
        <v>79</v>
      </c>
      <c r="D40" s="2" t="s">
        <v>382</v>
      </c>
      <c r="E40" s="2" t="s">
        <v>431</v>
      </c>
      <c r="F40" s="2" t="s">
        <v>175</v>
      </c>
      <c r="G40" s="2" t="s">
        <v>428</v>
      </c>
      <c r="H40" s="2" t="s">
        <v>432</v>
      </c>
      <c r="I40" s="2" t="s">
        <v>42</v>
      </c>
      <c r="J40" s="2" t="s">
        <v>46</v>
      </c>
      <c r="K40" s="2">
        <v>37</v>
      </c>
      <c r="L40" s="2"/>
    </row>
    <row r="41" spans="1:12">
      <c r="A41" s="2" t="s">
        <v>432</v>
      </c>
      <c r="B41" s="2">
        <v>38</v>
      </c>
      <c r="C41" s="2" t="s">
        <v>79</v>
      </c>
      <c r="D41" s="2" t="s">
        <v>385</v>
      </c>
      <c r="E41" s="2" t="s">
        <v>433</v>
      </c>
      <c r="F41" s="2" t="s">
        <v>169</v>
      </c>
      <c r="G41" s="2" t="s">
        <v>430</v>
      </c>
      <c r="H41" s="2" t="s">
        <v>434</v>
      </c>
      <c r="I41" s="2" t="s">
        <v>42</v>
      </c>
      <c r="J41" s="2" t="s">
        <v>46</v>
      </c>
      <c r="K41" s="2">
        <v>38</v>
      </c>
      <c r="L41" s="2"/>
    </row>
    <row r="42" spans="1:12">
      <c r="A42" s="2" t="s">
        <v>434</v>
      </c>
      <c r="B42" s="2">
        <v>39</v>
      </c>
      <c r="C42" s="2" t="s">
        <v>79</v>
      </c>
      <c r="D42" s="2" t="s">
        <v>388</v>
      </c>
      <c r="E42" s="2" t="s">
        <v>435</v>
      </c>
      <c r="F42" s="2" t="s">
        <v>390</v>
      </c>
      <c r="G42" s="2" t="s">
        <v>436</v>
      </c>
      <c r="H42" s="2" t="s">
        <v>437</v>
      </c>
      <c r="I42" s="2" t="s">
        <v>42</v>
      </c>
      <c r="J42" s="2" t="s">
        <v>46</v>
      </c>
      <c r="K42" s="2">
        <v>39</v>
      </c>
      <c r="L42" s="2"/>
    </row>
    <row r="43" spans="1:12">
      <c r="A43" s="2" t="s">
        <v>437</v>
      </c>
      <c r="B43" s="2">
        <v>40</v>
      </c>
      <c r="C43" s="2" t="s">
        <v>79</v>
      </c>
      <c r="D43" s="2" t="s">
        <v>438</v>
      </c>
      <c r="E43" s="2" t="s">
        <v>439</v>
      </c>
      <c r="F43" s="2" t="s">
        <v>394</v>
      </c>
      <c r="G43" s="2" t="s">
        <v>434</v>
      </c>
      <c r="H43" s="2" t="s">
        <v>440</v>
      </c>
      <c r="I43" s="2" t="s">
        <v>42</v>
      </c>
      <c r="J43" s="2" t="s">
        <v>46</v>
      </c>
      <c r="K43" s="2">
        <v>40</v>
      </c>
      <c r="L43" s="2"/>
    </row>
    <row r="44" spans="1:12">
      <c r="A44" s="2" t="s">
        <v>441</v>
      </c>
      <c r="B44" s="2">
        <v>41</v>
      </c>
      <c r="C44" s="2" t="s">
        <v>85</v>
      </c>
      <c r="D44" s="2" t="s">
        <v>442</v>
      </c>
      <c r="E44" s="2" t="s">
        <v>443</v>
      </c>
      <c r="F44" s="2" t="s">
        <v>444</v>
      </c>
      <c r="G44" s="2" t="s">
        <v>445</v>
      </c>
      <c r="H44" s="2" t="s">
        <v>446</v>
      </c>
      <c r="I44" s="2" t="s">
        <v>42</v>
      </c>
      <c r="J44" s="2" t="s">
        <v>46</v>
      </c>
      <c r="K44" s="2">
        <v>41</v>
      </c>
      <c r="L44" s="2"/>
    </row>
    <row r="45" spans="1:12">
      <c r="A45" s="2" t="s">
        <v>447</v>
      </c>
      <c r="B45" s="2">
        <v>42</v>
      </c>
      <c r="C45" s="2" t="s">
        <v>85</v>
      </c>
      <c r="D45" s="2" t="s">
        <v>448</v>
      </c>
      <c r="E45" s="2" t="s">
        <v>449</v>
      </c>
      <c r="F45" s="2" t="s">
        <v>169</v>
      </c>
      <c r="G45" s="2" t="s">
        <v>437</v>
      </c>
      <c r="H45" s="2" t="s">
        <v>193</v>
      </c>
      <c r="I45" s="2" t="s">
        <v>42</v>
      </c>
      <c r="J45" s="2" t="s">
        <v>46</v>
      </c>
      <c r="K45" s="2">
        <v>42</v>
      </c>
      <c r="L45" s="2"/>
    </row>
    <row r="46" spans="1:12">
      <c r="A46" s="2" t="s">
        <v>193</v>
      </c>
      <c r="B46" s="2">
        <v>43</v>
      </c>
      <c r="C46" s="2" t="s">
        <v>85</v>
      </c>
      <c r="D46" s="2" t="s">
        <v>194</v>
      </c>
      <c r="E46" s="2" t="s">
        <v>195</v>
      </c>
      <c r="F46" s="2" t="s">
        <v>196</v>
      </c>
      <c r="G46" s="2" t="s">
        <v>197</v>
      </c>
      <c r="H46" s="2" t="s">
        <v>198</v>
      </c>
      <c r="I46" s="2" t="s">
        <v>42</v>
      </c>
      <c r="J46" s="2" t="s">
        <v>46</v>
      </c>
      <c r="K46" s="2">
        <v>43</v>
      </c>
      <c r="L46" s="2"/>
    </row>
    <row r="47" spans="1:12">
      <c r="A47" s="2" t="s">
        <v>198</v>
      </c>
      <c r="B47" s="2">
        <v>44</v>
      </c>
      <c r="C47" s="2" t="s">
        <v>85</v>
      </c>
      <c r="D47" s="2" t="s">
        <v>450</v>
      </c>
      <c r="E47" s="2" t="s">
        <v>358</v>
      </c>
      <c r="F47" s="2" t="s">
        <v>359</v>
      </c>
      <c r="G47" s="2" t="s">
        <v>451</v>
      </c>
      <c r="H47" s="2" t="s">
        <v>446</v>
      </c>
      <c r="I47" s="2" t="s">
        <v>42</v>
      </c>
      <c r="J47" s="2" t="s">
        <v>46</v>
      </c>
      <c r="K47" s="2">
        <v>44</v>
      </c>
      <c r="L47" s="2"/>
    </row>
    <row r="48" spans="1:12">
      <c r="A48" s="2" t="s">
        <v>446</v>
      </c>
      <c r="B48" s="2">
        <v>45</v>
      </c>
      <c r="C48" s="2" t="s">
        <v>85</v>
      </c>
      <c r="D48" s="2" t="s">
        <v>178</v>
      </c>
      <c r="E48" s="2" t="s">
        <v>452</v>
      </c>
      <c r="F48" s="2" t="s">
        <v>180</v>
      </c>
      <c r="G48" s="2" t="s">
        <v>453</v>
      </c>
      <c r="H48" s="2" t="s">
        <v>454</v>
      </c>
      <c r="I48" s="2" t="s">
        <v>42</v>
      </c>
      <c r="J48" s="2" t="s">
        <v>46</v>
      </c>
      <c r="K48" s="2">
        <v>45</v>
      </c>
      <c r="L48" s="2"/>
    </row>
    <row r="49" spans="1:12">
      <c r="A49" s="2" t="s">
        <v>454</v>
      </c>
      <c r="B49" s="2">
        <v>46</v>
      </c>
      <c r="C49" s="2" t="s">
        <v>85</v>
      </c>
      <c r="D49" s="2" t="s">
        <v>361</v>
      </c>
      <c r="E49" s="2" t="s">
        <v>455</v>
      </c>
      <c r="F49" s="2" t="s">
        <v>175</v>
      </c>
      <c r="G49" s="2" t="s">
        <v>446</v>
      </c>
      <c r="H49" s="2" t="s">
        <v>456</v>
      </c>
      <c r="I49" s="2" t="s">
        <v>42</v>
      </c>
      <c r="J49" s="2" t="s">
        <v>46</v>
      </c>
      <c r="K49" s="2">
        <v>46</v>
      </c>
      <c r="L49" s="2"/>
    </row>
    <row r="50" spans="1:12">
      <c r="A50" s="2" t="s">
        <v>457</v>
      </c>
      <c r="B50" s="2">
        <v>47</v>
      </c>
      <c r="C50" s="2" t="s">
        <v>85</v>
      </c>
      <c r="D50" s="2" t="s">
        <v>458</v>
      </c>
      <c r="E50" s="2" t="s">
        <v>459</v>
      </c>
      <c r="F50" s="2" t="s">
        <v>175</v>
      </c>
      <c r="G50" s="2" t="s">
        <v>460</v>
      </c>
      <c r="H50" s="2" t="s">
        <v>461</v>
      </c>
      <c r="I50" s="2" t="s">
        <v>42</v>
      </c>
      <c r="J50" s="2" t="s">
        <v>46</v>
      </c>
      <c r="K50" s="2">
        <v>47</v>
      </c>
      <c r="L50" s="2"/>
    </row>
    <row r="51" spans="1:12">
      <c r="A51" s="2" t="s">
        <v>462</v>
      </c>
      <c r="B51" s="2">
        <v>48</v>
      </c>
      <c r="C51" s="2" t="s">
        <v>85</v>
      </c>
      <c r="D51" s="2" t="s">
        <v>463</v>
      </c>
      <c r="E51" s="2" t="s">
        <v>464</v>
      </c>
      <c r="F51" s="2" t="s">
        <v>367</v>
      </c>
      <c r="G51" s="2" t="s">
        <v>465</v>
      </c>
      <c r="H51" s="2" t="s">
        <v>466</v>
      </c>
      <c r="I51" s="2" t="s">
        <v>42</v>
      </c>
      <c r="J51" s="2" t="s">
        <v>46</v>
      </c>
      <c r="K51" s="2">
        <v>48</v>
      </c>
      <c r="L51" s="2"/>
    </row>
    <row r="52" spans="1:12">
      <c r="A52" s="2" t="s">
        <v>467</v>
      </c>
      <c r="B52" s="2">
        <v>49</v>
      </c>
      <c r="C52" s="2" t="s">
        <v>85</v>
      </c>
      <c r="D52" s="2" t="s">
        <v>371</v>
      </c>
      <c r="E52" s="2" t="s">
        <v>468</v>
      </c>
      <c r="F52" s="2" t="s">
        <v>367</v>
      </c>
      <c r="G52" s="2" t="s">
        <v>462</v>
      </c>
      <c r="H52" s="2" t="s">
        <v>469</v>
      </c>
      <c r="I52" s="2" t="s">
        <v>42</v>
      </c>
      <c r="J52" s="2" t="s">
        <v>46</v>
      </c>
      <c r="K52" s="2">
        <v>49</v>
      </c>
      <c r="L52" s="2"/>
    </row>
    <row r="53" spans="1:12">
      <c r="A53" s="2" t="s">
        <v>469</v>
      </c>
      <c r="B53" s="2">
        <v>50</v>
      </c>
      <c r="C53" s="2" t="s">
        <v>85</v>
      </c>
      <c r="D53" s="2" t="s">
        <v>374</v>
      </c>
      <c r="E53" s="2" t="s">
        <v>470</v>
      </c>
      <c r="F53" s="2" t="s">
        <v>376</v>
      </c>
      <c r="G53" s="2" t="s">
        <v>467</v>
      </c>
      <c r="H53" s="2" t="s">
        <v>471</v>
      </c>
      <c r="I53" s="2" t="s">
        <v>42</v>
      </c>
      <c r="J53" s="2" t="s">
        <v>46</v>
      </c>
      <c r="K53" s="2">
        <v>50</v>
      </c>
      <c r="L53" s="2"/>
    </row>
    <row r="54" spans="1:12">
      <c r="A54" s="2" t="s">
        <v>472</v>
      </c>
      <c r="B54" s="2">
        <v>51</v>
      </c>
      <c r="C54" s="2" t="s">
        <v>85</v>
      </c>
      <c r="D54" s="2" t="s">
        <v>379</v>
      </c>
      <c r="E54" s="2" t="s">
        <v>473</v>
      </c>
      <c r="F54" s="2" t="s">
        <v>169</v>
      </c>
      <c r="G54" s="2" t="s">
        <v>456</v>
      </c>
      <c r="H54" s="2" t="s">
        <v>474</v>
      </c>
      <c r="I54" s="2" t="s">
        <v>42</v>
      </c>
      <c r="J54" s="2" t="s">
        <v>46</v>
      </c>
      <c r="K54" s="2">
        <v>51</v>
      </c>
      <c r="L54" s="2"/>
    </row>
    <row r="55" spans="1:12">
      <c r="A55" s="2" t="s">
        <v>474</v>
      </c>
      <c r="B55" s="2">
        <v>52</v>
      </c>
      <c r="C55" s="2" t="s">
        <v>85</v>
      </c>
      <c r="D55" s="2" t="s">
        <v>382</v>
      </c>
      <c r="E55" s="2" t="s">
        <v>475</v>
      </c>
      <c r="F55" s="2" t="s">
        <v>175</v>
      </c>
      <c r="G55" s="2" t="s">
        <v>472</v>
      </c>
      <c r="H55" s="2" t="s">
        <v>476</v>
      </c>
      <c r="I55" s="2" t="s">
        <v>42</v>
      </c>
      <c r="J55" s="2" t="s">
        <v>46</v>
      </c>
      <c r="K55" s="2">
        <v>52</v>
      </c>
      <c r="L55" s="2"/>
    </row>
    <row r="56" spans="1:12">
      <c r="A56" s="2" t="s">
        <v>476</v>
      </c>
      <c r="B56" s="2">
        <v>53</v>
      </c>
      <c r="C56" s="2" t="s">
        <v>85</v>
      </c>
      <c r="D56" s="2" t="s">
        <v>385</v>
      </c>
      <c r="E56" s="2" t="s">
        <v>477</v>
      </c>
      <c r="F56" s="2" t="s">
        <v>169</v>
      </c>
      <c r="G56" s="2" t="s">
        <v>474</v>
      </c>
      <c r="H56" s="2" t="s">
        <v>478</v>
      </c>
      <c r="I56" s="2" t="s">
        <v>42</v>
      </c>
      <c r="J56" s="2" t="s">
        <v>46</v>
      </c>
      <c r="K56" s="2">
        <v>53</v>
      </c>
      <c r="L56" s="2"/>
    </row>
    <row r="57" spans="1:12">
      <c r="A57" s="2" t="s">
        <v>478</v>
      </c>
      <c r="B57" s="2">
        <v>54</v>
      </c>
      <c r="C57" s="2" t="s">
        <v>85</v>
      </c>
      <c r="D57" s="2" t="s">
        <v>388</v>
      </c>
      <c r="E57" s="2" t="s">
        <v>479</v>
      </c>
      <c r="F57" s="2" t="s">
        <v>390</v>
      </c>
      <c r="G57" s="2" t="s">
        <v>480</v>
      </c>
      <c r="H57" s="2" t="s">
        <v>481</v>
      </c>
      <c r="I57" s="2" t="s">
        <v>42</v>
      </c>
      <c r="J57" s="2" t="s">
        <v>46</v>
      </c>
      <c r="K57" s="2">
        <v>54</v>
      </c>
      <c r="L57" s="2"/>
    </row>
    <row r="58" spans="1:12">
      <c r="A58" s="2" t="s">
        <v>481</v>
      </c>
      <c r="B58" s="2">
        <v>55</v>
      </c>
      <c r="C58" s="2" t="s">
        <v>85</v>
      </c>
      <c r="D58" s="2" t="s">
        <v>482</v>
      </c>
      <c r="E58" s="2" t="s">
        <v>483</v>
      </c>
      <c r="F58" s="2" t="s">
        <v>390</v>
      </c>
      <c r="G58" s="2" t="s">
        <v>478</v>
      </c>
      <c r="H58" s="2" t="s">
        <v>484</v>
      </c>
      <c r="I58" s="2" t="s">
        <v>42</v>
      </c>
      <c r="J58" s="2" t="s">
        <v>46</v>
      </c>
      <c r="K58" s="2">
        <v>55</v>
      </c>
      <c r="L58" s="2"/>
    </row>
    <row r="59" spans="1:12">
      <c r="A59" s="2" t="s">
        <v>485</v>
      </c>
      <c r="B59" s="2">
        <v>56</v>
      </c>
      <c r="C59" s="2" t="s">
        <v>85</v>
      </c>
      <c r="D59" s="2" t="s">
        <v>486</v>
      </c>
      <c r="E59" s="2" t="s">
        <v>487</v>
      </c>
      <c r="F59" s="2" t="s">
        <v>394</v>
      </c>
      <c r="G59" s="2" t="s">
        <v>481</v>
      </c>
      <c r="H59" s="2" t="s">
        <v>488</v>
      </c>
      <c r="I59" s="2" t="s">
        <v>42</v>
      </c>
      <c r="J59" s="2" t="s">
        <v>46</v>
      </c>
      <c r="K59" s="2">
        <v>56</v>
      </c>
      <c r="L59" s="2"/>
    </row>
    <row r="60" spans="1:12">
      <c r="A60" s="2" t="s">
        <v>489</v>
      </c>
      <c r="B60" s="2">
        <v>57</v>
      </c>
      <c r="C60" s="2" t="s">
        <v>92</v>
      </c>
      <c r="D60" s="2" t="s">
        <v>490</v>
      </c>
      <c r="E60" s="2" t="s">
        <v>491</v>
      </c>
      <c r="F60" s="2" t="s">
        <v>169</v>
      </c>
      <c r="G60" s="2" t="s">
        <v>485</v>
      </c>
      <c r="H60" s="2" t="s">
        <v>492</v>
      </c>
      <c r="I60" s="2" t="s">
        <v>42</v>
      </c>
      <c r="J60" s="2" t="s">
        <v>46</v>
      </c>
      <c r="K60" s="2">
        <v>57</v>
      </c>
      <c r="L60" s="2"/>
    </row>
    <row r="61" spans="1:12">
      <c r="A61" s="2" t="s">
        <v>493</v>
      </c>
      <c r="B61" s="2">
        <v>58</v>
      </c>
      <c r="C61" s="2" t="s">
        <v>92</v>
      </c>
      <c r="D61" s="2" t="s">
        <v>494</v>
      </c>
      <c r="E61" s="2" t="s">
        <v>495</v>
      </c>
      <c r="F61" s="2" t="s">
        <v>496</v>
      </c>
      <c r="G61" s="2" t="s">
        <v>481</v>
      </c>
      <c r="H61" s="2" t="s">
        <v>199</v>
      </c>
      <c r="I61" s="2" t="s">
        <v>42</v>
      </c>
      <c r="J61" s="2" t="s">
        <v>46</v>
      </c>
      <c r="K61" s="2">
        <v>58</v>
      </c>
      <c r="L61" s="2"/>
    </row>
    <row r="62" spans="1:12">
      <c r="A62" s="2" t="s">
        <v>497</v>
      </c>
      <c r="B62" s="2">
        <v>59</v>
      </c>
      <c r="C62" s="2" t="s">
        <v>92</v>
      </c>
      <c r="D62" s="2" t="s">
        <v>498</v>
      </c>
      <c r="E62" s="2" t="s">
        <v>499</v>
      </c>
      <c r="F62" s="2" t="s">
        <v>134</v>
      </c>
      <c r="G62" s="2" t="s">
        <v>489</v>
      </c>
      <c r="H62" s="2" t="s">
        <v>199</v>
      </c>
      <c r="I62" s="2" t="s">
        <v>42</v>
      </c>
      <c r="J62" s="2" t="s">
        <v>46</v>
      </c>
      <c r="K62" s="2">
        <v>59</v>
      </c>
      <c r="L62" s="2"/>
    </row>
    <row r="63" spans="1:12">
      <c r="A63" s="2" t="s">
        <v>500</v>
      </c>
      <c r="B63" s="2">
        <v>60</v>
      </c>
      <c r="C63" s="2" t="s">
        <v>92</v>
      </c>
      <c r="D63" s="2" t="s">
        <v>501</v>
      </c>
      <c r="E63" s="2" t="s">
        <v>502</v>
      </c>
      <c r="F63" s="2" t="s">
        <v>503</v>
      </c>
      <c r="G63" s="2" t="s">
        <v>504</v>
      </c>
      <c r="H63" s="2" t="s">
        <v>199</v>
      </c>
      <c r="I63" s="2" t="s">
        <v>42</v>
      </c>
      <c r="J63" s="2" t="s">
        <v>46</v>
      </c>
      <c r="K63" s="2">
        <v>60</v>
      </c>
      <c r="L63" s="2"/>
    </row>
    <row r="64" spans="1:12">
      <c r="A64" s="2" t="s">
        <v>505</v>
      </c>
      <c r="B64" s="2">
        <v>61</v>
      </c>
      <c r="C64" s="2" t="s">
        <v>92</v>
      </c>
      <c r="D64" s="2" t="s">
        <v>506</v>
      </c>
      <c r="E64" s="2" t="s">
        <v>506</v>
      </c>
      <c r="F64" s="2" t="s">
        <v>507</v>
      </c>
      <c r="G64" s="2" t="s">
        <v>508</v>
      </c>
      <c r="H64" s="2" t="s">
        <v>199</v>
      </c>
      <c r="I64" s="2" t="s">
        <v>42</v>
      </c>
      <c r="J64" s="2" t="s">
        <v>46</v>
      </c>
      <c r="K64" s="2">
        <v>61</v>
      </c>
      <c r="L64" s="2"/>
    </row>
    <row r="65" spans="1:12">
      <c r="A65" s="2" t="s">
        <v>509</v>
      </c>
      <c r="B65" s="2">
        <v>62</v>
      </c>
      <c r="C65" s="2" t="s">
        <v>92</v>
      </c>
      <c r="D65" s="2" t="s">
        <v>510</v>
      </c>
      <c r="E65" s="2" t="s">
        <v>511</v>
      </c>
      <c r="F65" s="2" t="s">
        <v>512</v>
      </c>
      <c r="G65" s="2" t="s">
        <v>508</v>
      </c>
      <c r="H65" s="2" t="s">
        <v>199</v>
      </c>
      <c r="I65" s="2" t="s">
        <v>42</v>
      </c>
      <c r="J65" s="2" t="s">
        <v>46</v>
      </c>
      <c r="K65" s="2">
        <v>62</v>
      </c>
      <c r="L65" s="2"/>
    </row>
    <row r="66" spans="1:12">
      <c r="A66" s="2" t="s">
        <v>199</v>
      </c>
      <c r="B66" s="2">
        <v>63</v>
      </c>
      <c r="C66" s="2" t="s">
        <v>92</v>
      </c>
      <c r="D66" s="2" t="s">
        <v>200</v>
      </c>
      <c r="E66" s="2" t="s">
        <v>200</v>
      </c>
      <c r="F66" s="2" t="s">
        <v>201</v>
      </c>
      <c r="G66" s="2" t="s">
        <v>202</v>
      </c>
      <c r="H66" s="2"/>
      <c r="I66" s="2" t="s">
        <v>42</v>
      </c>
      <c r="J66" s="2" t="s">
        <v>46</v>
      </c>
      <c r="K66" s="2">
        <v>63</v>
      </c>
      <c r="L66" s="2"/>
    </row>
    <row r="67" spans="1:1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</sheetData>
  <mergeCells count="2">
    <mergeCell ref="A1:L1"/>
    <mergeCell ref="A2:L2"/>
  </mergeCells>
  <conditionalFormatting sqref="J4:J544">
    <cfRule type="expression" dxfId="41" priority="1">
      <formula>$J4="No"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Lists!$E$4:$E$5</xm:f>
          </x14:formula1>
          <xm:sqref>J4:J544</xm:sqref>
        </x14:dataValidation>
        <x14:dataValidation type="list" xr:uid="{00000000-0002-0000-0400-000001000000}">
          <x14:formula1>
            <xm:f>Lists!$J$4:$J$9</xm:f>
          </x14:formula1>
          <xm:sqref>C4:C544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0"/>
  <sheetViews>
    <sheetView tabSelected="1" topLeftCell="A8" workbookViewId="0">
      <selection activeCell="D18" sqref="D18"/>
    </sheetView>
  </sheetViews>
  <sheetFormatPr defaultRowHeight="14"/>
  <cols>
    <col min="1" max="2" width="18" customWidth="1"/>
    <col min="3" max="4" width="16" customWidth="1"/>
    <col min="5" max="5" width="14" customWidth="1"/>
    <col min="6" max="6" width="38" customWidth="1"/>
    <col min="7" max="8" width="14" customWidth="1"/>
    <col min="9" max="9" width="38" customWidth="1"/>
  </cols>
  <sheetData>
    <row r="1" spans="1:9" ht="20">
      <c r="A1" s="7" t="s">
        <v>203</v>
      </c>
      <c r="B1" s="8"/>
      <c r="C1" s="8"/>
      <c r="D1" s="8"/>
      <c r="E1" s="8"/>
      <c r="F1" s="8"/>
      <c r="G1" s="8"/>
      <c r="H1" s="8"/>
      <c r="I1" s="8"/>
    </row>
    <row r="2" spans="1:9">
      <c r="A2" s="9" t="s">
        <v>106</v>
      </c>
      <c r="B2" s="8"/>
      <c r="C2" s="8"/>
      <c r="D2" s="8"/>
      <c r="E2" s="8"/>
      <c r="F2" s="8"/>
      <c r="G2" s="8"/>
      <c r="H2" s="8"/>
      <c r="I2" s="8"/>
    </row>
    <row r="3" spans="1:9">
      <c r="A3" s="1" t="s">
        <v>107</v>
      </c>
      <c r="B3" s="1" t="s">
        <v>149</v>
      </c>
      <c r="C3" s="1" t="s">
        <v>31</v>
      </c>
      <c r="D3" s="1" t="s">
        <v>204</v>
      </c>
      <c r="E3" s="1" t="s">
        <v>205</v>
      </c>
      <c r="F3" s="1" t="s">
        <v>206</v>
      </c>
      <c r="G3" s="1" t="s">
        <v>117</v>
      </c>
      <c r="H3" s="1" t="s">
        <v>17</v>
      </c>
      <c r="I3" s="1" t="s">
        <v>18</v>
      </c>
    </row>
    <row r="4" spans="1:9">
      <c r="A4" s="2" t="s">
        <v>518</v>
      </c>
      <c r="B4" s="2" t="s">
        <v>157</v>
      </c>
      <c r="C4" s="2" t="s">
        <v>96</v>
      </c>
      <c r="D4" s="2" t="s">
        <v>134</v>
      </c>
      <c r="E4" s="4"/>
      <c r="F4" s="2" t="s">
        <v>536</v>
      </c>
      <c r="G4" s="2" t="s">
        <v>46</v>
      </c>
      <c r="H4" s="4">
        <v>46156</v>
      </c>
      <c r="I4" s="2" t="s">
        <v>537</v>
      </c>
    </row>
    <row r="5" spans="1:9">
      <c r="A5" s="2" t="s">
        <v>518</v>
      </c>
      <c r="B5" s="2" t="s">
        <v>160</v>
      </c>
      <c r="C5" s="2" t="s">
        <v>96</v>
      </c>
      <c r="D5" s="2" t="s">
        <v>169</v>
      </c>
      <c r="E5" s="4"/>
      <c r="F5" s="2" t="s">
        <v>538</v>
      </c>
      <c r="G5" s="2" t="s">
        <v>46</v>
      </c>
      <c r="H5" s="4">
        <v>46156</v>
      </c>
      <c r="I5" s="2"/>
    </row>
    <row r="6" spans="1:9">
      <c r="A6" s="2" t="s">
        <v>518</v>
      </c>
      <c r="B6" s="2" t="s">
        <v>164</v>
      </c>
      <c r="C6" s="2" t="s">
        <v>96</v>
      </c>
      <c r="D6" s="2" t="s">
        <v>169</v>
      </c>
      <c r="E6" s="4"/>
      <c r="F6" s="2" t="s">
        <v>539</v>
      </c>
      <c r="G6" s="2" t="s">
        <v>46</v>
      </c>
      <c r="H6" s="4">
        <v>46156</v>
      </c>
      <c r="I6" s="2"/>
    </row>
    <row r="7" spans="1:9">
      <c r="A7" s="2" t="s">
        <v>518</v>
      </c>
      <c r="B7" s="2" t="s">
        <v>161</v>
      </c>
      <c r="C7" s="2" t="s">
        <v>96</v>
      </c>
      <c r="D7" s="2" t="s">
        <v>134</v>
      </c>
      <c r="E7" s="4"/>
      <c r="F7" s="2" t="s">
        <v>540</v>
      </c>
      <c r="G7" s="2" t="s">
        <v>46</v>
      </c>
      <c r="H7" s="4">
        <v>46156</v>
      </c>
      <c r="I7" s="2"/>
    </row>
    <row r="8" spans="1:9" ht="28">
      <c r="A8" s="2" t="s">
        <v>518</v>
      </c>
      <c r="B8" s="2" t="s">
        <v>170</v>
      </c>
      <c r="C8" s="2" t="s">
        <v>96</v>
      </c>
      <c r="D8" s="2" t="s">
        <v>331</v>
      </c>
      <c r="E8" s="4"/>
      <c r="F8" s="2" t="s">
        <v>541</v>
      </c>
      <c r="G8" s="2" t="s">
        <v>46</v>
      </c>
      <c r="H8" s="4">
        <v>46156</v>
      </c>
      <c r="I8" s="2"/>
    </row>
    <row r="9" spans="1:9" ht="28">
      <c r="A9" s="2" t="s">
        <v>518</v>
      </c>
      <c r="B9" s="2" t="s">
        <v>176</v>
      </c>
      <c r="C9" s="2" t="s">
        <v>96</v>
      </c>
      <c r="D9" s="2" t="s">
        <v>331</v>
      </c>
      <c r="E9" s="4"/>
      <c r="F9" s="2" t="s">
        <v>542</v>
      </c>
      <c r="G9" s="2" t="s">
        <v>46</v>
      </c>
      <c r="H9" s="4">
        <v>46156</v>
      </c>
      <c r="I9" s="2"/>
    </row>
    <row r="10" spans="1:9" ht="28">
      <c r="A10" s="2" t="s">
        <v>518</v>
      </c>
      <c r="B10" s="2" t="s">
        <v>336</v>
      </c>
      <c r="C10" s="2" t="s">
        <v>96</v>
      </c>
      <c r="D10" s="2" t="s">
        <v>208</v>
      </c>
      <c r="E10" s="4"/>
      <c r="F10" s="2" t="s">
        <v>543</v>
      </c>
      <c r="G10" s="2" t="s">
        <v>46</v>
      </c>
      <c r="H10" s="4">
        <v>46156</v>
      </c>
      <c r="I10" s="2"/>
    </row>
    <row r="11" spans="1:9" ht="28">
      <c r="A11" s="2" t="s">
        <v>518</v>
      </c>
      <c r="B11" s="2" t="s">
        <v>340</v>
      </c>
      <c r="C11" s="2" t="s">
        <v>96</v>
      </c>
      <c r="D11" s="2" t="s">
        <v>343</v>
      </c>
      <c r="E11" s="4"/>
      <c r="F11" s="2" t="s">
        <v>544</v>
      </c>
      <c r="G11" s="2" t="s">
        <v>46</v>
      </c>
      <c r="H11" s="4">
        <v>46156</v>
      </c>
      <c r="I11" s="2"/>
    </row>
    <row r="12" spans="1:9" ht="28">
      <c r="A12" s="2" t="s">
        <v>518</v>
      </c>
      <c r="B12" s="2" t="s">
        <v>166</v>
      </c>
      <c r="C12" s="2" t="s">
        <v>96</v>
      </c>
      <c r="D12" s="2" t="s">
        <v>169</v>
      </c>
      <c r="E12" s="4" t="s">
        <v>207</v>
      </c>
      <c r="F12" s="2" t="s">
        <v>545</v>
      </c>
      <c r="G12" s="2" t="s">
        <v>46</v>
      </c>
      <c r="H12" s="4">
        <v>46156</v>
      </c>
      <c r="I12" s="2"/>
    </row>
    <row r="13" spans="1:9" ht="28">
      <c r="A13" s="2" t="s">
        <v>518</v>
      </c>
      <c r="B13" s="2" t="s">
        <v>172</v>
      </c>
      <c r="C13" s="2" t="s">
        <v>96</v>
      </c>
      <c r="D13" s="2" t="s">
        <v>175</v>
      </c>
      <c r="E13" s="4"/>
      <c r="F13" s="2" t="s">
        <v>546</v>
      </c>
      <c r="G13" s="2" t="s">
        <v>46</v>
      </c>
      <c r="H13" s="4">
        <v>46156</v>
      </c>
      <c r="I13" s="2"/>
    </row>
    <row r="14" spans="1:9" ht="28">
      <c r="A14" s="2" t="s">
        <v>518</v>
      </c>
      <c r="B14" s="2" t="s">
        <v>344</v>
      </c>
      <c r="C14" s="2" t="s">
        <v>96</v>
      </c>
      <c r="D14" s="2" t="s">
        <v>175</v>
      </c>
      <c r="E14" s="4"/>
      <c r="F14" s="2" t="s">
        <v>547</v>
      </c>
      <c r="G14" s="2" t="s">
        <v>46</v>
      </c>
      <c r="H14" s="4">
        <v>46156</v>
      </c>
      <c r="I14" s="2"/>
    </row>
    <row r="15" spans="1:9">
      <c r="A15" s="2" t="s">
        <v>518</v>
      </c>
      <c r="B15" s="2" t="s">
        <v>348</v>
      </c>
      <c r="C15" s="2" t="s">
        <v>96</v>
      </c>
      <c r="D15" s="2" t="s">
        <v>196</v>
      </c>
      <c r="E15" s="4"/>
      <c r="F15" s="2" t="s">
        <v>548</v>
      </c>
      <c r="G15" s="2" t="s">
        <v>46</v>
      </c>
      <c r="H15" s="4">
        <v>46156</v>
      </c>
      <c r="I15" s="2" t="s">
        <v>549</v>
      </c>
    </row>
    <row r="16" spans="1:9">
      <c r="A16" s="2" t="s">
        <v>518</v>
      </c>
      <c r="B16" s="2" t="s">
        <v>352</v>
      </c>
      <c r="C16" s="2" t="s">
        <v>96</v>
      </c>
      <c r="D16" s="2" t="s">
        <v>196</v>
      </c>
      <c r="E16" s="4"/>
      <c r="F16" s="2" t="s">
        <v>550</v>
      </c>
      <c r="G16" s="2" t="s">
        <v>46</v>
      </c>
      <c r="H16" s="4">
        <v>46156</v>
      </c>
      <c r="I16" s="2" t="s">
        <v>549</v>
      </c>
    </row>
    <row r="17" spans="1:9">
      <c r="A17" s="2" t="s">
        <v>518</v>
      </c>
      <c r="B17" s="2" t="s">
        <v>356</v>
      </c>
      <c r="C17" s="2" t="s">
        <v>96</v>
      </c>
      <c r="D17" s="2" t="s">
        <v>359</v>
      </c>
      <c r="E17" s="4"/>
      <c r="F17" s="2" t="s">
        <v>551</v>
      </c>
      <c r="G17" s="2" t="s">
        <v>46</v>
      </c>
      <c r="H17" s="4">
        <v>46156</v>
      </c>
      <c r="I17" s="2" t="s">
        <v>549</v>
      </c>
    </row>
    <row r="18" spans="1:9" ht="28">
      <c r="A18" s="2" t="s">
        <v>518</v>
      </c>
      <c r="B18" s="2" t="s">
        <v>177</v>
      </c>
      <c r="C18" s="2" t="s">
        <v>71</v>
      </c>
      <c r="D18" s="2" t="s">
        <v>208</v>
      </c>
      <c r="E18" s="4"/>
      <c r="F18" s="2" t="s">
        <v>552</v>
      </c>
      <c r="G18" s="2" t="s">
        <v>46</v>
      </c>
      <c r="H18" s="4">
        <v>46156</v>
      </c>
      <c r="I18" s="2"/>
    </row>
    <row r="19" spans="1:9" ht="28">
      <c r="A19" s="2" t="s">
        <v>518</v>
      </c>
      <c r="B19" s="2" t="s">
        <v>182</v>
      </c>
      <c r="C19" s="2" t="s">
        <v>71</v>
      </c>
      <c r="D19" s="2" t="s">
        <v>175</v>
      </c>
      <c r="E19" s="4"/>
      <c r="F19" s="2" t="s">
        <v>553</v>
      </c>
      <c r="G19" s="2" t="s">
        <v>46</v>
      </c>
      <c r="H19" s="4">
        <v>46156</v>
      </c>
      <c r="I19" s="2"/>
    </row>
    <row r="20" spans="1:9">
      <c r="A20" s="2"/>
      <c r="B20" s="2"/>
      <c r="C20" s="2"/>
      <c r="D20" s="2"/>
      <c r="E20" s="4"/>
      <c r="F20" s="2"/>
      <c r="G20" s="2"/>
      <c r="H20" s="4"/>
      <c r="I20" s="2"/>
    </row>
    <row r="21" spans="1:9">
      <c r="A21" s="2" t="s">
        <v>520</v>
      </c>
      <c r="B21" s="2" t="s">
        <v>157</v>
      </c>
      <c r="C21" s="2" t="s">
        <v>96</v>
      </c>
      <c r="D21" s="2" t="s">
        <v>134</v>
      </c>
      <c r="E21" s="4"/>
      <c r="F21" s="2" t="s">
        <v>536</v>
      </c>
      <c r="G21" s="2" t="s">
        <v>46</v>
      </c>
      <c r="H21" s="4">
        <v>46156</v>
      </c>
      <c r="I21" s="2" t="s">
        <v>554</v>
      </c>
    </row>
    <row r="22" spans="1:9">
      <c r="A22" s="2" t="s">
        <v>520</v>
      </c>
      <c r="B22" s="2" t="s">
        <v>160</v>
      </c>
      <c r="C22" s="2" t="s">
        <v>96</v>
      </c>
      <c r="D22" s="2" t="s">
        <v>169</v>
      </c>
      <c r="E22" s="4"/>
      <c r="F22" s="2" t="s">
        <v>538</v>
      </c>
      <c r="G22" s="2" t="s">
        <v>46</v>
      </c>
      <c r="H22" s="4">
        <v>46156</v>
      </c>
      <c r="I22" s="2"/>
    </row>
    <row r="23" spans="1:9">
      <c r="A23" s="2" t="s">
        <v>520</v>
      </c>
      <c r="B23" s="2" t="s">
        <v>164</v>
      </c>
      <c r="C23" s="2" t="s">
        <v>96</v>
      </c>
      <c r="D23" s="2" t="s">
        <v>169</v>
      </c>
      <c r="E23" s="4"/>
      <c r="F23" s="2" t="s">
        <v>539</v>
      </c>
      <c r="G23" s="2" t="s">
        <v>46</v>
      </c>
      <c r="H23" s="4">
        <v>46156</v>
      </c>
      <c r="I23" s="2"/>
    </row>
    <row r="24" spans="1:9">
      <c r="A24" s="2" t="s">
        <v>520</v>
      </c>
      <c r="B24" s="2" t="s">
        <v>161</v>
      </c>
      <c r="C24" s="2" t="s">
        <v>96</v>
      </c>
      <c r="D24" s="2" t="s">
        <v>134</v>
      </c>
      <c r="E24" s="4"/>
      <c r="F24" s="2" t="s">
        <v>555</v>
      </c>
      <c r="G24" s="2" t="s">
        <v>46</v>
      </c>
      <c r="H24" s="4">
        <v>46156</v>
      </c>
      <c r="I24" s="2"/>
    </row>
    <row r="25" spans="1:9">
      <c r="A25" s="2" t="s">
        <v>520</v>
      </c>
      <c r="B25" s="2" t="s">
        <v>170</v>
      </c>
      <c r="C25" s="2" t="s">
        <v>96</v>
      </c>
      <c r="D25" s="2" t="s">
        <v>331</v>
      </c>
      <c r="E25" s="4"/>
      <c r="F25" s="2" t="s">
        <v>556</v>
      </c>
      <c r="G25" s="2" t="s">
        <v>46</v>
      </c>
      <c r="H25" s="4">
        <v>46156</v>
      </c>
      <c r="I25" s="2"/>
    </row>
    <row r="26" spans="1:9">
      <c r="A26" s="2" t="s">
        <v>520</v>
      </c>
      <c r="B26" s="2" t="s">
        <v>176</v>
      </c>
      <c r="C26" s="2" t="s">
        <v>96</v>
      </c>
      <c r="D26" s="2" t="s">
        <v>331</v>
      </c>
      <c r="E26" s="4"/>
      <c r="F26" s="2" t="s">
        <v>557</v>
      </c>
      <c r="G26" s="2" t="s">
        <v>46</v>
      </c>
      <c r="H26" s="4">
        <v>46156</v>
      </c>
      <c r="I26" s="2"/>
    </row>
    <row r="27" spans="1:9">
      <c r="A27" s="2" t="s">
        <v>520</v>
      </c>
      <c r="B27" s="2" t="s">
        <v>336</v>
      </c>
      <c r="C27" s="2" t="s">
        <v>96</v>
      </c>
      <c r="D27" s="2" t="s">
        <v>558</v>
      </c>
      <c r="E27" s="4"/>
      <c r="F27" s="2" t="s">
        <v>559</v>
      </c>
      <c r="G27" s="2" t="s">
        <v>46</v>
      </c>
      <c r="H27" s="4">
        <v>46156</v>
      </c>
      <c r="I27" s="2"/>
    </row>
    <row r="28" spans="1:9">
      <c r="A28" s="2" t="s">
        <v>520</v>
      </c>
      <c r="B28" s="2" t="s">
        <v>340</v>
      </c>
      <c r="C28" s="2" t="s">
        <v>96</v>
      </c>
      <c r="D28" s="2" t="s">
        <v>343</v>
      </c>
      <c r="E28" s="4"/>
      <c r="F28" s="2" t="s">
        <v>560</v>
      </c>
      <c r="G28" s="2" t="s">
        <v>46</v>
      </c>
      <c r="H28" s="4">
        <v>46156</v>
      </c>
      <c r="I28" s="2"/>
    </row>
    <row r="29" spans="1:9">
      <c r="A29" s="2" t="s">
        <v>520</v>
      </c>
      <c r="B29" s="2" t="s">
        <v>166</v>
      </c>
      <c r="C29" s="2" t="s">
        <v>96</v>
      </c>
      <c r="D29" s="2" t="s">
        <v>169</v>
      </c>
      <c r="E29" s="4"/>
      <c r="F29" s="2" t="s">
        <v>561</v>
      </c>
      <c r="G29" s="2" t="s">
        <v>46</v>
      </c>
      <c r="H29" s="4">
        <v>46156</v>
      </c>
      <c r="I29" s="2"/>
    </row>
    <row r="30" spans="1:9">
      <c r="A30" s="2" t="s">
        <v>520</v>
      </c>
      <c r="B30" s="2" t="s">
        <v>172</v>
      </c>
      <c r="C30" s="2" t="s">
        <v>96</v>
      </c>
      <c r="D30" s="2" t="s">
        <v>175</v>
      </c>
      <c r="E30" s="4"/>
      <c r="F30" s="2" t="s">
        <v>562</v>
      </c>
      <c r="G30" s="2" t="s">
        <v>46</v>
      </c>
      <c r="H30" s="4">
        <v>46156</v>
      </c>
      <c r="I30" s="2"/>
    </row>
    <row r="31" spans="1:9">
      <c r="A31" s="2" t="s">
        <v>520</v>
      </c>
      <c r="B31" s="2" t="s">
        <v>344</v>
      </c>
      <c r="C31" s="2" t="s">
        <v>96</v>
      </c>
      <c r="D31" s="2" t="s">
        <v>175</v>
      </c>
      <c r="E31" s="4"/>
      <c r="F31" s="2" t="s">
        <v>563</v>
      </c>
      <c r="G31" s="2" t="s">
        <v>46</v>
      </c>
      <c r="H31" s="4">
        <v>46156</v>
      </c>
      <c r="I31" s="2"/>
    </row>
    <row r="32" spans="1:9">
      <c r="A32" s="2" t="s">
        <v>520</v>
      </c>
      <c r="B32" s="2" t="s">
        <v>348</v>
      </c>
      <c r="C32" s="2" t="s">
        <v>96</v>
      </c>
      <c r="D32" s="2" t="s">
        <v>196</v>
      </c>
      <c r="E32" s="4"/>
      <c r="F32" s="2" t="s">
        <v>564</v>
      </c>
      <c r="G32" s="2" t="s">
        <v>46</v>
      </c>
      <c r="H32" s="4">
        <v>46156</v>
      </c>
      <c r="I32" s="2"/>
    </row>
    <row r="33" spans="1:9">
      <c r="A33" s="2" t="s">
        <v>520</v>
      </c>
      <c r="B33" s="2" t="s">
        <v>352</v>
      </c>
      <c r="C33" s="2" t="s">
        <v>96</v>
      </c>
      <c r="D33" s="2" t="s">
        <v>196</v>
      </c>
      <c r="E33" s="4"/>
      <c r="F33" s="2" t="s">
        <v>565</v>
      </c>
      <c r="G33" s="2" t="s">
        <v>46</v>
      </c>
      <c r="H33" s="4">
        <v>46156</v>
      </c>
      <c r="I33" s="2"/>
    </row>
    <row r="34" spans="1:9">
      <c r="A34" s="2" t="s">
        <v>520</v>
      </c>
      <c r="B34" s="2" t="s">
        <v>356</v>
      </c>
      <c r="C34" s="2" t="s">
        <v>96</v>
      </c>
      <c r="D34" s="2" t="s">
        <v>359</v>
      </c>
      <c r="E34" s="4"/>
      <c r="F34" s="2" t="s">
        <v>566</v>
      </c>
      <c r="G34" s="2" t="s">
        <v>46</v>
      </c>
      <c r="H34" s="4">
        <v>46156</v>
      </c>
      <c r="I34" s="2"/>
    </row>
    <row r="35" spans="1:9">
      <c r="A35" s="2" t="s">
        <v>520</v>
      </c>
      <c r="B35" s="2" t="s">
        <v>177</v>
      </c>
      <c r="C35" s="2" t="s">
        <v>96</v>
      </c>
      <c r="D35" s="2" t="s">
        <v>558</v>
      </c>
      <c r="E35" s="4"/>
      <c r="F35" s="2" t="s">
        <v>567</v>
      </c>
      <c r="G35" s="2" t="s">
        <v>46</v>
      </c>
      <c r="H35" s="4">
        <v>46156</v>
      </c>
      <c r="I35" s="2"/>
    </row>
    <row r="36" spans="1:9">
      <c r="A36" s="2" t="s">
        <v>520</v>
      </c>
      <c r="B36" s="2" t="s">
        <v>182</v>
      </c>
      <c r="C36" s="2" t="s">
        <v>96</v>
      </c>
      <c r="D36" s="2" t="s">
        <v>175</v>
      </c>
      <c r="E36" s="4"/>
      <c r="F36" s="2" t="s">
        <v>568</v>
      </c>
      <c r="G36" s="2" t="s">
        <v>46</v>
      </c>
      <c r="H36" s="4">
        <v>46156</v>
      </c>
      <c r="I36" s="2"/>
    </row>
    <row r="37" spans="1:9">
      <c r="A37" s="2" t="s">
        <v>520</v>
      </c>
      <c r="B37" s="2" t="s">
        <v>183</v>
      </c>
      <c r="C37" s="2" t="s">
        <v>71</v>
      </c>
      <c r="D37" s="2" t="s">
        <v>175</v>
      </c>
      <c r="E37" s="4"/>
      <c r="F37" s="2" t="s">
        <v>569</v>
      </c>
      <c r="G37" s="2" t="s">
        <v>46</v>
      </c>
      <c r="H37" s="4">
        <v>46156</v>
      </c>
      <c r="I37" s="2"/>
    </row>
    <row r="38" spans="1:9">
      <c r="A38" s="2" t="s">
        <v>520</v>
      </c>
      <c r="B38" s="2" t="s">
        <v>364</v>
      </c>
      <c r="C38" s="2" t="s">
        <v>71</v>
      </c>
      <c r="D38" s="2" t="s">
        <v>55</v>
      </c>
      <c r="E38" s="4"/>
      <c r="F38" s="2" t="s">
        <v>570</v>
      </c>
      <c r="G38" s="2" t="s">
        <v>46</v>
      </c>
      <c r="H38" s="4">
        <v>46156</v>
      </c>
      <c r="I38" s="2"/>
    </row>
    <row r="39" spans="1:9" ht="56">
      <c r="A39" s="2" t="s">
        <v>520</v>
      </c>
      <c r="B39" s="2" t="s">
        <v>188</v>
      </c>
      <c r="C39" s="2" t="s">
        <v>42</v>
      </c>
      <c r="D39" s="2" t="s">
        <v>571</v>
      </c>
      <c r="E39" s="4"/>
      <c r="F39" s="2" t="s">
        <v>572</v>
      </c>
      <c r="G39" s="2" t="s">
        <v>46</v>
      </c>
      <c r="H39" s="4">
        <v>46156</v>
      </c>
      <c r="I39" s="2" t="s">
        <v>573</v>
      </c>
    </row>
    <row r="40" spans="1:9" ht="28">
      <c r="A40" s="2" t="s">
        <v>520</v>
      </c>
      <c r="B40" s="2" t="s">
        <v>396</v>
      </c>
      <c r="C40" s="2" t="s">
        <v>42</v>
      </c>
      <c r="D40" s="2" t="s">
        <v>399</v>
      </c>
      <c r="E40" s="4"/>
      <c r="F40" s="2" t="s">
        <v>574</v>
      </c>
      <c r="G40" s="2" t="s">
        <v>46</v>
      </c>
      <c r="H40" s="4">
        <v>46156</v>
      </c>
      <c r="I40" s="2"/>
    </row>
    <row r="41" spans="1:9" ht="28">
      <c r="A41" s="2" t="s">
        <v>520</v>
      </c>
      <c r="B41" s="2" t="s">
        <v>401</v>
      </c>
      <c r="C41" s="2" t="s">
        <v>42</v>
      </c>
      <c r="D41" s="2" t="s">
        <v>169</v>
      </c>
      <c r="E41" s="4"/>
      <c r="F41" s="2" t="s">
        <v>575</v>
      </c>
      <c r="G41" s="2" t="s">
        <v>46</v>
      </c>
      <c r="H41" s="4">
        <v>46156</v>
      </c>
      <c r="I41" s="2"/>
    </row>
    <row r="42" spans="1:9" ht="28">
      <c r="A42" s="2" t="s">
        <v>520</v>
      </c>
      <c r="B42" s="2" t="s">
        <v>400</v>
      </c>
      <c r="C42" s="2" t="s">
        <v>42</v>
      </c>
      <c r="D42" s="2" t="s">
        <v>196</v>
      </c>
      <c r="E42" s="4"/>
      <c r="F42" s="2" t="s">
        <v>576</v>
      </c>
      <c r="G42" s="2" t="s">
        <v>46</v>
      </c>
      <c r="H42" s="4">
        <v>46156</v>
      </c>
      <c r="I42" s="2"/>
    </row>
    <row r="43" spans="1:9">
      <c r="A43" s="2" t="s">
        <v>520</v>
      </c>
      <c r="B43" s="2" t="s">
        <v>407</v>
      </c>
      <c r="C43" s="2" t="s">
        <v>42</v>
      </c>
      <c r="D43" s="2" t="s">
        <v>558</v>
      </c>
      <c r="E43" s="4"/>
      <c r="F43" s="2" t="s">
        <v>577</v>
      </c>
      <c r="G43" s="2" t="s">
        <v>46</v>
      </c>
      <c r="H43" s="4">
        <v>46156</v>
      </c>
      <c r="I43" s="2"/>
    </row>
    <row r="44" spans="1:9">
      <c r="A44" s="2"/>
      <c r="B44" s="2"/>
      <c r="C44" s="2"/>
      <c r="D44" s="2"/>
      <c r="E44" s="4"/>
      <c r="F44" s="2"/>
      <c r="G44" s="2"/>
      <c r="H44" s="4"/>
      <c r="I44" s="2"/>
    </row>
    <row r="45" spans="1:9" ht="28">
      <c r="A45" s="2" t="s">
        <v>522</v>
      </c>
      <c r="B45" s="2" t="s">
        <v>157</v>
      </c>
      <c r="C45" s="2" t="s">
        <v>96</v>
      </c>
      <c r="D45" s="2" t="s">
        <v>134</v>
      </c>
      <c r="E45" s="4"/>
      <c r="F45" s="2" t="s">
        <v>578</v>
      </c>
      <c r="G45" s="2" t="s">
        <v>46</v>
      </c>
      <c r="H45" s="4">
        <v>46156</v>
      </c>
      <c r="I45" s="2" t="s">
        <v>579</v>
      </c>
    </row>
    <row r="46" spans="1:9">
      <c r="A46" s="2" t="s">
        <v>522</v>
      </c>
      <c r="B46" s="2" t="s">
        <v>160</v>
      </c>
      <c r="C46" s="2" t="s">
        <v>96</v>
      </c>
      <c r="D46" s="2" t="s">
        <v>169</v>
      </c>
      <c r="E46" s="4"/>
      <c r="F46" s="2" t="s">
        <v>580</v>
      </c>
      <c r="G46" s="2" t="s">
        <v>46</v>
      </c>
      <c r="H46" s="4">
        <v>46156</v>
      </c>
      <c r="I46" s="2"/>
    </row>
    <row r="47" spans="1:9">
      <c r="A47" s="2" t="s">
        <v>522</v>
      </c>
      <c r="B47" s="2" t="s">
        <v>164</v>
      </c>
      <c r="C47" s="2" t="s">
        <v>96</v>
      </c>
      <c r="D47" s="2" t="s">
        <v>169</v>
      </c>
      <c r="E47" s="4"/>
      <c r="F47" s="2" t="s">
        <v>581</v>
      </c>
      <c r="G47" s="2" t="s">
        <v>46</v>
      </c>
      <c r="H47" s="4">
        <v>46156</v>
      </c>
      <c r="I47" s="2"/>
    </row>
    <row r="48" spans="1:9">
      <c r="A48" s="2" t="s">
        <v>522</v>
      </c>
      <c r="B48" s="2" t="s">
        <v>161</v>
      </c>
      <c r="C48" s="2" t="s">
        <v>42</v>
      </c>
      <c r="D48" s="2" t="s">
        <v>134</v>
      </c>
      <c r="E48" s="4"/>
      <c r="F48" s="2" t="s">
        <v>582</v>
      </c>
      <c r="G48" s="2" t="s">
        <v>46</v>
      </c>
      <c r="H48" s="4">
        <v>46156</v>
      </c>
      <c r="I48" s="2"/>
    </row>
    <row r="49" spans="1:9" ht="28">
      <c r="A49" s="2" t="s">
        <v>522</v>
      </c>
      <c r="B49" s="2" t="s">
        <v>170</v>
      </c>
      <c r="C49" s="2" t="s">
        <v>42</v>
      </c>
      <c r="D49" s="2" t="s">
        <v>331</v>
      </c>
      <c r="E49" s="4"/>
      <c r="F49" s="2" t="s">
        <v>583</v>
      </c>
      <c r="G49" s="2" t="s">
        <v>46</v>
      </c>
      <c r="H49" s="4">
        <v>46156</v>
      </c>
      <c r="I49" s="2"/>
    </row>
    <row r="50" spans="1:9" ht="42">
      <c r="A50" s="2" t="s">
        <v>522</v>
      </c>
      <c r="B50" s="2" t="s">
        <v>336</v>
      </c>
      <c r="C50" s="2" t="s">
        <v>42</v>
      </c>
      <c r="D50" s="2" t="s">
        <v>180</v>
      </c>
      <c r="E50" s="4"/>
      <c r="F50" s="2" t="s">
        <v>584</v>
      </c>
      <c r="G50" s="2" t="s">
        <v>46</v>
      </c>
      <c r="H50" s="4">
        <v>46156</v>
      </c>
      <c r="I50" s="2"/>
    </row>
    <row r="51" spans="1:9">
      <c r="A51" s="2" t="s">
        <v>522</v>
      </c>
      <c r="B51" s="2" t="s">
        <v>172</v>
      </c>
      <c r="C51" s="2" t="s">
        <v>42</v>
      </c>
      <c r="D51" s="2" t="s">
        <v>175</v>
      </c>
      <c r="E51" s="4">
        <v>46162</v>
      </c>
      <c r="F51" s="2" t="s">
        <v>585</v>
      </c>
      <c r="G51" s="2" t="s">
        <v>46</v>
      </c>
      <c r="H51" s="4">
        <v>46156</v>
      </c>
      <c r="I51" s="2"/>
    </row>
    <row r="52" spans="1:9">
      <c r="A52" s="2" t="s">
        <v>522</v>
      </c>
      <c r="B52" s="2" t="s">
        <v>344</v>
      </c>
      <c r="C52" s="2" t="s">
        <v>42</v>
      </c>
      <c r="D52" s="2" t="s">
        <v>175</v>
      </c>
      <c r="E52" s="4"/>
      <c r="F52" s="2" t="s">
        <v>586</v>
      </c>
      <c r="G52" s="2" t="s">
        <v>46</v>
      </c>
      <c r="H52" s="4">
        <v>46156</v>
      </c>
      <c r="I52" s="2"/>
    </row>
    <row r="53" spans="1:9">
      <c r="A53" s="2" t="s">
        <v>522</v>
      </c>
      <c r="B53" s="2" t="s">
        <v>177</v>
      </c>
      <c r="C53" s="2" t="s">
        <v>42</v>
      </c>
      <c r="D53" s="2" t="s">
        <v>180</v>
      </c>
      <c r="E53" s="4"/>
      <c r="F53" s="2" t="s">
        <v>587</v>
      </c>
      <c r="G53" s="2" t="s">
        <v>46</v>
      </c>
      <c r="H53" s="4">
        <v>46156</v>
      </c>
      <c r="I53" s="2"/>
    </row>
    <row r="54" spans="1:9">
      <c r="A54" s="6"/>
      <c r="B54" s="6"/>
      <c r="C54" s="6"/>
      <c r="D54" s="6"/>
      <c r="E54" s="5"/>
      <c r="F54" s="6"/>
      <c r="G54" s="6"/>
      <c r="H54" s="5"/>
      <c r="I54" s="6"/>
    </row>
    <row r="55" spans="1:9">
      <c r="A55" s="6" t="s">
        <v>524</v>
      </c>
      <c r="B55" s="6" t="s">
        <v>157</v>
      </c>
      <c r="C55" s="6" t="s">
        <v>62</v>
      </c>
      <c r="D55" s="6" t="s">
        <v>241</v>
      </c>
      <c r="E55" s="5"/>
      <c r="F55" s="6" t="s">
        <v>588</v>
      </c>
      <c r="G55" s="6" t="s">
        <v>46</v>
      </c>
      <c r="H55" s="5">
        <v>46156</v>
      </c>
      <c r="I55" s="6" t="s">
        <v>589</v>
      </c>
    </row>
    <row r="56" spans="1:9">
      <c r="A56" s="6" t="s">
        <v>524</v>
      </c>
      <c r="B56" s="6" t="s">
        <v>160</v>
      </c>
      <c r="C56" s="6" t="s">
        <v>42</v>
      </c>
      <c r="D56" s="6" t="s">
        <v>169</v>
      </c>
      <c r="E56" s="5"/>
      <c r="F56" s="6" t="s">
        <v>590</v>
      </c>
      <c r="G56" s="6" t="s">
        <v>46</v>
      </c>
      <c r="H56" s="5">
        <v>46156</v>
      </c>
      <c r="I56" s="6"/>
    </row>
    <row r="57" spans="1:9">
      <c r="A57" s="6" t="s">
        <v>524</v>
      </c>
      <c r="B57" s="6" t="s">
        <v>164</v>
      </c>
      <c r="C57" s="6" t="s">
        <v>42</v>
      </c>
      <c r="D57" s="6" t="s">
        <v>169</v>
      </c>
      <c r="E57" s="5"/>
      <c r="F57" s="6" t="s">
        <v>581</v>
      </c>
      <c r="G57" s="6" t="s">
        <v>46</v>
      </c>
      <c r="H57" s="5">
        <v>46156</v>
      </c>
      <c r="I57" s="6"/>
    </row>
    <row r="58" spans="1:9">
      <c r="A58" s="6" t="s">
        <v>524</v>
      </c>
      <c r="B58" s="6" t="s">
        <v>161</v>
      </c>
      <c r="C58" s="6" t="s">
        <v>42</v>
      </c>
      <c r="D58" s="6" t="s">
        <v>134</v>
      </c>
      <c r="E58" s="5"/>
      <c r="F58" s="6" t="s">
        <v>591</v>
      </c>
      <c r="G58" s="6" t="s">
        <v>46</v>
      </c>
      <c r="H58" s="5">
        <v>46156</v>
      </c>
      <c r="I58" s="6"/>
    </row>
    <row r="59" spans="1:9">
      <c r="A59" s="6" t="s">
        <v>524</v>
      </c>
      <c r="B59" s="6" t="s">
        <v>170</v>
      </c>
      <c r="C59" s="6" t="s">
        <v>42</v>
      </c>
      <c r="D59" s="6" t="s">
        <v>331</v>
      </c>
      <c r="E59" s="5"/>
      <c r="F59" s="6" t="s">
        <v>592</v>
      </c>
      <c r="G59" s="6" t="s">
        <v>46</v>
      </c>
      <c r="H59" s="5">
        <v>46156</v>
      </c>
      <c r="I59" s="6"/>
    </row>
    <row r="60" spans="1:9">
      <c r="A60" s="6" t="s">
        <v>524</v>
      </c>
      <c r="B60" s="6" t="s">
        <v>336</v>
      </c>
      <c r="C60" s="6" t="s">
        <v>42</v>
      </c>
      <c r="D60" s="6" t="s">
        <v>180</v>
      </c>
      <c r="E60" s="5"/>
      <c r="F60" s="6" t="s">
        <v>584</v>
      </c>
      <c r="G60" s="6" t="s">
        <v>46</v>
      </c>
      <c r="H60" s="5">
        <v>46156</v>
      </c>
      <c r="I60" s="6"/>
    </row>
    <row r="61" spans="1:9">
      <c r="A61" s="6" t="s">
        <v>524</v>
      </c>
      <c r="B61" s="6" t="s">
        <v>172</v>
      </c>
      <c r="C61" s="6" t="s">
        <v>42</v>
      </c>
      <c r="D61" s="6" t="s">
        <v>175</v>
      </c>
      <c r="E61" s="5"/>
      <c r="F61" s="6" t="s">
        <v>593</v>
      </c>
      <c r="G61" s="6" t="s">
        <v>46</v>
      </c>
      <c r="H61" s="5">
        <v>46156</v>
      </c>
      <c r="I61" s="6"/>
    </row>
    <row r="62" spans="1:9">
      <c r="A62" s="6" t="s">
        <v>524</v>
      </c>
      <c r="B62" s="6" t="s">
        <v>177</v>
      </c>
      <c r="C62" s="6" t="s">
        <v>42</v>
      </c>
      <c r="D62" s="6" t="s">
        <v>180</v>
      </c>
      <c r="E62" s="5"/>
      <c r="F62" s="6" t="s">
        <v>594</v>
      </c>
      <c r="G62" s="6" t="s">
        <v>46</v>
      </c>
      <c r="H62" s="5">
        <v>46156</v>
      </c>
      <c r="I62" s="6"/>
    </row>
    <row r="63" spans="1:9">
      <c r="A63" s="6"/>
      <c r="B63" s="6"/>
      <c r="C63" s="6"/>
      <c r="D63" s="6"/>
      <c r="E63" s="5"/>
      <c r="F63" s="6"/>
      <c r="G63" s="6"/>
      <c r="H63" s="5"/>
      <c r="I63" s="6"/>
    </row>
    <row r="64" spans="1:9">
      <c r="A64" s="6" t="s">
        <v>526</v>
      </c>
      <c r="B64" s="6" t="s">
        <v>157</v>
      </c>
      <c r="C64" s="6" t="s">
        <v>62</v>
      </c>
      <c r="D64" s="6" t="s">
        <v>134</v>
      </c>
      <c r="E64" s="5"/>
      <c r="F64" s="6" t="s">
        <v>595</v>
      </c>
      <c r="G64" s="6" t="s">
        <v>46</v>
      </c>
      <c r="H64" s="5">
        <v>46156</v>
      </c>
      <c r="I64" s="6" t="s">
        <v>596</v>
      </c>
    </row>
    <row r="65" spans="1:9">
      <c r="A65" s="6" t="s">
        <v>526</v>
      </c>
      <c r="B65" s="6" t="s">
        <v>160</v>
      </c>
      <c r="C65" s="6" t="s">
        <v>42</v>
      </c>
      <c r="D65" s="6" t="s">
        <v>169</v>
      </c>
      <c r="E65" s="5"/>
      <c r="F65" s="6" t="s">
        <v>597</v>
      </c>
      <c r="G65" s="6" t="s">
        <v>46</v>
      </c>
      <c r="H65" s="5">
        <v>46156</v>
      </c>
      <c r="I65" s="6"/>
    </row>
    <row r="66" spans="1:9">
      <c r="A66" s="6" t="s">
        <v>526</v>
      </c>
      <c r="B66" s="6" t="s">
        <v>164</v>
      </c>
      <c r="C66" s="6" t="s">
        <v>42</v>
      </c>
      <c r="D66" s="6" t="s">
        <v>169</v>
      </c>
      <c r="E66" s="5"/>
      <c r="F66" s="6" t="s">
        <v>598</v>
      </c>
      <c r="G66" s="6" t="s">
        <v>46</v>
      </c>
      <c r="H66" s="5">
        <v>46156</v>
      </c>
      <c r="I66" s="6"/>
    </row>
    <row r="67" spans="1:9">
      <c r="A67" s="6" t="s">
        <v>526</v>
      </c>
      <c r="B67" s="6" t="s">
        <v>161</v>
      </c>
      <c r="C67" s="6" t="s">
        <v>42</v>
      </c>
      <c r="D67" s="6" t="s">
        <v>134</v>
      </c>
      <c r="E67" s="5"/>
      <c r="F67" s="6" t="s">
        <v>599</v>
      </c>
      <c r="G67" s="6" t="s">
        <v>46</v>
      </c>
      <c r="H67" s="5">
        <v>46156</v>
      </c>
      <c r="I67" s="6"/>
    </row>
    <row r="68" spans="1:9">
      <c r="A68" s="6" t="s">
        <v>526</v>
      </c>
      <c r="B68" s="6" t="s">
        <v>170</v>
      </c>
      <c r="C68" s="6" t="s">
        <v>42</v>
      </c>
      <c r="D68" s="6" t="s">
        <v>331</v>
      </c>
      <c r="E68" s="5"/>
      <c r="F68" s="6" t="s">
        <v>600</v>
      </c>
      <c r="G68" s="6" t="s">
        <v>46</v>
      </c>
      <c r="H68" s="5">
        <v>46156</v>
      </c>
      <c r="I68" s="6"/>
    </row>
    <row r="69" spans="1:9">
      <c r="A69" s="6"/>
      <c r="B69" s="6"/>
      <c r="C69" s="6"/>
      <c r="D69" s="6"/>
      <c r="E69" s="5"/>
      <c r="F69" s="6"/>
      <c r="G69" s="6"/>
      <c r="H69" s="5"/>
      <c r="I69" s="6"/>
    </row>
    <row r="70" spans="1:9">
      <c r="A70" s="6" t="s">
        <v>529</v>
      </c>
      <c r="B70" s="6" t="s">
        <v>157</v>
      </c>
      <c r="C70" s="6" t="s">
        <v>62</v>
      </c>
      <c r="D70" s="6" t="s">
        <v>601</v>
      </c>
      <c r="E70" s="5"/>
      <c r="F70" s="6" t="s">
        <v>602</v>
      </c>
      <c r="G70" s="6" t="s">
        <v>46</v>
      </c>
      <c r="H70" s="5">
        <v>46156</v>
      </c>
      <c r="I70" s="6" t="s">
        <v>603</v>
      </c>
    </row>
    <row r="71" spans="1:9">
      <c r="A71" s="6" t="s">
        <v>529</v>
      </c>
      <c r="B71" s="6" t="s">
        <v>160</v>
      </c>
      <c r="C71" s="6" t="s">
        <v>42</v>
      </c>
      <c r="D71" s="6" t="s">
        <v>169</v>
      </c>
      <c r="E71" s="5"/>
      <c r="F71" s="6" t="s">
        <v>604</v>
      </c>
      <c r="G71" s="6" t="s">
        <v>46</v>
      </c>
      <c r="H71" s="5">
        <v>46156</v>
      </c>
      <c r="I71" s="6"/>
    </row>
    <row r="72" spans="1:9">
      <c r="A72" s="6" t="s">
        <v>529</v>
      </c>
      <c r="B72" s="6" t="s">
        <v>164</v>
      </c>
      <c r="C72" s="6" t="s">
        <v>42</v>
      </c>
      <c r="D72" s="6" t="s">
        <v>169</v>
      </c>
      <c r="E72" s="5"/>
      <c r="F72" s="6" t="s">
        <v>605</v>
      </c>
      <c r="G72" s="6" t="s">
        <v>46</v>
      </c>
      <c r="H72" s="5">
        <v>46156</v>
      </c>
      <c r="I72" s="6"/>
    </row>
    <row r="73" spans="1:9">
      <c r="A73" s="6" t="s">
        <v>529</v>
      </c>
      <c r="B73" s="6" t="s">
        <v>161</v>
      </c>
      <c r="C73" s="6" t="s">
        <v>42</v>
      </c>
      <c r="D73" s="6" t="s">
        <v>134</v>
      </c>
      <c r="E73" s="5"/>
      <c r="F73" s="6" t="s">
        <v>606</v>
      </c>
      <c r="G73" s="6" t="s">
        <v>46</v>
      </c>
      <c r="H73" s="5">
        <v>46156</v>
      </c>
      <c r="I73" s="6"/>
    </row>
    <row r="74" spans="1:9">
      <c r="A74" s="6" t="s">
        <v>529</v>
      </c>
      <c r="B74" s="6" t="s">
        <v>172</v>
      </c>
      <c r="C74" s="6" t="s">
        <v>80</v>
      </c>
      <c r="D74" s="6" t="s">
        <v>175</v>
      </c>
      <c r="E74" s="5"/>
      <c r="F74" s="6" t="s">
        <v>607</v>
      </c>
      <c r="G74" s="6" t="s">
        <v>46</v>
      </c>
      <c r="H74" s="5">
        <v>46156</v>
      </c>
      <c r="I74" s="6"/>
    </row>
    <row r="75" spans="1:9">
      <c r="A75" s="6"/>
      <c r="B75" s="6"/>
      <c r="C75" s="6"/>
      <c r="D75" s="6"/>
      <c r="E75" s="5"/>
      <c r="F75" s="6"/>
      <c r="G75" s="6"/>
      <c r="H75" s="5"/>
      <c r="I75" s="6"/>
    </row>
    <row r="76" spans="1:9">
      <c r="A76" s="6" t="s">
        <v>530</v>
      </c>
      <c r="B76" s="6" t="s">
        <v>157</v>
      </c>
      <c r="C76" s="6" t="s">
        <v>62</v>
      </c>
      <c r="D76" s="6" t="s">
        <v>601</v>
      </c>
      <c r="E76" s="5"/>
      <c r="F76" s="6" t="s">
        <v>608</v>
      </c>
      <c r="G76" s="6" t="s">
        <v>46</v>
      </c>
      <c r="H76" s="5">
        <v>46156</v>
      </c>
      <c r="I76" s="6" t="s">
        <v>609</v>
      </c>
    </row>
    <row r="77" spans="1:9">
      <c r="A77" s="6" t="s">
        <v>530</v>
      </c>
      <c r="B77" s="6" t="s">
        <v>160</v>
      </c>
      <c r="C77" s="6" t="s">
        <v>42</v>
      </c>
      <c r="D77" s="6" t="s">
        <v>169</v>
      </c>
      <c r="E77" s="5"/>
      <c r="F77" s="6" t="s">
        <v>610</v>
      </c>
      <c r="G77" s="6" t="s">
        <v>46</v>
      </c>
      <c r="H77" s="5">
        <v>46156</v>
      </c>
      <c r="I77" s="6"/>
    </row>
    <row r="78" spans="1:9">
      <c r="A78" s="6" t="s">
        <v>530</v>
      </c>
      <c r="B78" s="6" t="s">
        <v>164</v>
      </c>
      <c r="C78" s="6" t="s">
        <v>42</v>
      </c>
      <c r="D78" s="6" t="s">
        <v>169</v>
      </c>
      <c r="E78" s="5"/>
      <c r="F78" s="6" t="s">
        <v>611</v>
      </c>
      <c r="G78" s="6" t="s">
        <v>46</v>
      </c>
      <c r="H78" s="5">
        <v>46156</v>
      </c>
      <c r="I78" s="6"/>
    </row>
    <row r="79" spans="1:9">
      <c r="A79" s="6" t="s">
        <v>530</v>
      </c>
      <c r="B79" s="6" t="s">
        <v>161</v>
      </c>
      <c r="C79" s="6" t="s">
        <v>42</v>
      </c>
      <c r="D79" s="6" t="s">
        <v>134</v>
      </c>
      <c r="E79" s="5"/>
      <c r="F79" s="6" t="s">
        <v>606</v>
      </c>
      <c r="G79" s="6" t="s">
        <v>46</v>
      </c>
      <c r="H79" s="5">
        <v>46156</v>
      </c>
      <c r="I79" s="6"/>
    </row>
    <row r="80" spans="1:9">
      <c r="A80" s="6" t="s">
        <v>530</v>
      </c>
      <c r="B80" s="6" t="s">
        <v>172</v>
      </c>
      <c r="C80" s="6" t="s">
        <v>98</v>
      </c>
      <c r="D80" s="6" t="s">
        <v>175</v>
      </c>
      <c r="E80" s="5"/>
      <c r="F80" s="6" t="s">
        <v>612</v>
      </c>
      <c r="G80" s="6" t="s">
        <v>46</v>
      </c>
      <c r="H80" s="5">
        <v>46156</v>
      </c>
      <c r="I80" s="6"/>
    </row>
    <row r="81" spans="1:9">
      <c r="A81" s="6" t="s">
        <v>530</v>
      </c>
      <c r="B81" s="6" t="s">
        <v>348</v>
      </c>
      <c r="C81" s="6" t="s">
        <v>42</v>
      </c>
      <c r="D81" s="6" t="s">
        <v>196</v>
      </c>
      <c r="E81" s="5"/>
      <c r="F81" s="6" t="s">
        <v>613</v>
      </c>
      <c r="G81" s="6" t="s">
        <v>46</v>
      </c>
      <c r="H81" s="5">
        <v>46156</v>
      </c>
      <c r="I81" s="6"/>
    </row>
    <row r="82" spans="1:9">
      <c r="A82" s="6"/>
      <c r="B82" s="6"/>
      <c r="C82" s="6"/>
      <c r="D82" s="6"/>
      <c r="E82" s="5"/>
      <c r="F82" s="6"/>
      <c r="G82" s="6"/>
      <c r="H82" s="5"/>
      <c r="I82" s="6"/>
    </row>
    <row r="83" spans="1:9">
      <c r="A83" s="6" t="s">
        <v>534</v>
      </c>
      <c r="B83" s="6" t="s">
        <v>157</v>
      </c>
      <c r="C83" s="6" t="s">
        <v>309</v>
      </c>
      <c r="D83" s="6" t="s">
        <v>614</v>
      </c>
      <c r="E83" s="5"/>
      <c r="F83" s="6" t="s">
        <v>615</v>
      </c>
      <c r="G83" s="6" t="s">
        <v>56</v>
      </c>
      <c r="H83" s="5">
        <v>46156</v>
      </c>
      <c r="I83" s="6" t="s">
        <v>616</v>
      </c>
    </row>
    <row r="84" spans="1:9">
      <c r="E84" s="5"/>
      <c r="H84" s="5"/>
    </row>
    <row r="85" spans="1:9">
      <c r="E85" s="5"/>
      <c r="H85" s="5"/>
    </row>
    <row r="86" spans="1:9">
      <c r="E86" s="5"/>
      <c r="H86" s="5"/>
    </row>
    <row r="87" spans="1:9">
      <c r="E87" s="5"/>
      <c r="H87" s="5"/>
    </row>
    <row r="88" spans="1:9">
      <c r="E88" s="5"/>
      <c r="H88" s="5"/>
    </row>
    <row r="89" spans="1:9">
      <c r="E89" s="5"/>
      <c r="H89" s="5"/>
    </row>
    <row r="90" spans="1:9">
      <c r="E90" s="5"/>
      <c r="H90" s="5"/>
    </row>
    <row r="91" spans="1:9">
      <c r="E91" s="5"/>
      <c r="H91" s="5"/>
    </row>
    <row r="92" spans="1:9">
      <c r="E92" s="5"/>
      <c r="H92" s="5"/>
    </row>
    <row r="93" spans="1:9">
      <c r="E93" s="5"/>
      <c r="H93" s="5"/>
    </row>
    <row r="94" spans="1:9">
      <c r="E94" s="5"/>
      <c r="H94" s="5"/>
    </row>
    <row r="95" spans="1:9">
      <c r="E95" s="5"/>
      <c r="H95" s="5"/>
    </row>
    <row r="96" spans="1:9">
      <c r="E96" s="5"/>
      <c r="H96" s="5"/>
    </row>
    <row r="97" spans="5:8">
      <c r="E97" s="5"/>
      <c r="H97" s="5"/>
    </row>
    <row r="98" spans="5:8">
      <c r="E98" s="5"/>
      <c r="H98" s="5"/>
    </row>
    <row r="99" spans="5:8">
      <c r="E99" s="5"/>
      <c r="H99" s="5"/>
    </row>
    <row r="100" spans="5:8">
      <c r="E100" s="5"/>
      <c r="H100" s="5"/>
    </row>
    <row r="101" spans="5:8">
      <c r="E101" s="5"/>
      <c r="H101" s="5"/>
    </row>
    <row r="102" spans="5:8">
      <c r="E102" s="5"/>
      <c r="H102" s="5"/>
    </row>
    <row r="103" spans="5:8">
      <c r="E103" s="5"/>
      <c r="H103" s="5"/>
    </row>
    <row r="104" spans="5:8">
      <c r="E104" s="5"/>
      <c r="H104" s="5"/>
    </row>
    <row r="105" spans="5:8">
      <c r="E105" s="5"/>
      <c r="H105" s="5"/>
    </row>
    <row r="106" spans="5:8">
      <c r="E106" s="5"/>
      <c r="H106" s="5"/>
    </row>
    <row r="107" spans="5:8">
      <c r="E107" s="5"/>
      <c r="H107" s="5"/>
    </row>
    <row r="108" spans="5:8">
      <c r="E108" s="5"/>
      <c r="H108" s="5"/>
    </row>
    <row r="109" spans="5:8">
      <c r="E109" s="5"/>
      <c r="H109" s="5"/>
    </row>
    <row r="110" spans="5:8">
      <c r="E110" s="5"/>
      <c r="H110" s="5"/>
    </row>
    <row r="111" spans="5:8">
      <c r="E111" s="5"/>
      <c r="H111" s="5"/>
    </row>
    <row r="112" spans="5:8">
      <c r="E112" s="5"/>
      <c r="H112" s="5"/>
    </row>
    <row r="113" spans="5:8">
      <c r="E113" s="5"/>
      <c r="H113" s="5"/>
    </row>
    <row r="114" spans="5:8">
      <c r="E114" s="5"/>
      <c r="H114" s="5"/>
    </row>
    <row r="115" spans="5:8">
      <c r="E115" s="5"/>
      <c r="H115" s="5"/>
    </row>
    <row r="116" spans="5:8">
      <c r="E116" s="5"/>
      <c r="H116" s="5"/>
    </row>
    <row r="117" spans="5:8">
      <c r="E117" s="5"/>
      <c r="H117" s="5"/>
    </row>
    <row r="118" spans="5:8">
      <c r="E118" s="5"/>
      <c r="H118" s="5"/>
    </row>
    <row r="119" spans="5:8">
      <c r="E119" s="5"/>
      <c r="H119" s="5"/>
    </row>
    <row r="120" spans="5:8">
      <c r="E120" s="5"/>
      <c r="H120" s="5"/>
    </row>
    <row r="121" spans="5:8">
      <c r="E121" s="5"/>
      <c r="H121" s="5"/>
    </row>
    <row r="122" spans="5:8">
      <c r="E122" s="5"/>
      <c r="H122" s="5"/>
    </row>
    <row r="123" spans="5:8">
      <c r="E123" s="5"/>
      <c r="H123" s="5"/>
    </row>
    <row r="124" spans="5:8">
      <c r="E124" s="5"/>
      <c r="H124" s="5"/>
    </row>
    <row r="125" spans="5:8">
      <c r="E125" s="5"/>
      <c r="H125" s="5"/>
    </row>
    <row r="126" spans="5:8">
      <c r="E126" s="5"/>
      <c r="H126" s="5"/>
    </row>
    <row r="127" spans="5:8">
      <c r="E127" s="5"/>
      <c r="H127" s="5"/>
    </row>
    <row r="128" spans="5:8">
      <c r="E128" s="5"/>
      <c r="H128" s="5"/>
    </row>
    <row r="129" spans="5:8">
      <c r="E129" s="5"/>
      <c r="H129" s="5"/>
    </row>
    <row r="130" spans="5:8">
      <c r="E130" s="5"/>
      <c r="H130" s="5"/>
    </row>
    <row r="131" spans="5:8">
      <c r="E131" s="5"/>
      <c r="H131" s="5"/>
    </row>
    <row r="132" spans="5:8">
      <c r="E132" s="5"/>
      <c r="H132" s="5"/>
    </row>
    <row r="133" spans="5:8">
      <c r="E133" s="5"/>
      <c r="H133" s="5"/>
    </row>
    <row r="134" spans="5:8">
      <c r="E134" s="5"/>
      <c r="H134" s="5"/>
    </row>
    <row r="135" spans="5:8">
      <c r="E135" s="5"/>
      <c r="H135" s="5"/>
    </row>
    <row r="136" spans="5:8">
      <c r="E136" s="5"/>
      <c r="H136" s="5"/>
    </row>
    <row r="137" spans="5:8">
      <c r="E137" s="5"/>
      <c r="H137" s="5"/>
    </row>
    <row r="138" spans="5:8">
      <c r="E138" s="5"/>
      <c r="H138" s="5"/>
    </row>
    <row r="139" spans="5:8">
      <c r="E139" s="5"/>
      <c r="H139" s="5"/>
    </row>
    <row r="140" spans="5:8">
      <c r="E140" s="5"/>
      <c r="H140" s="5"/>
    </row>
    <row r="141" spans="5:8">
      <c r="E141" s="5"/>
      <c r="H141" s="5"/>
    </row>
    <row r="142" spans="5:8">
      <c r="E142" s="5"/>
      <c r="H142" s="5"/>
    </row>
    <row r="143" spans="5:8">
      <c r="E143" s="5"/>
      <c r="H143" s="5"/>
    </row>
    <row r="144" spans="5:8">
      <c r="E144" s="5"/>
      <c r="H144" s="5"/>
    </row>
    <row r="145" spans="5:8">
      <c r="E145" s="5"/>
      <c r="H145" s="5"/>
    </row>
    <row r="146" spans="5:8">
      <c r="E146" s="5"/>
      <c r="H146" s="5"/>
    </row>
    <row r="147" spans="5:8">
      <c r="E147" s="5"/>
      <c r="H147" s="5"/>
    </row>
    <row r="148" spans="5:8">
      <c r="E148" s="5"/>
      <c r="H148" s="5"/>
    </row>
    <row r="149" spans="5:8">
      <c r="E149" s="5"/>
      <c r="H149" s="5"/>
    </row>
    <row r="150" spans="5:8">
      <c r="E150" s="5"/>
      <c r="H150" s="5"/>
    </row>
    <row r="151" spans="5:8">
      <c r="E151" s="5"/>
      <c r="H151" s="5"/>
    </row>
    <row r="152" spans="5:8">
      <c r="E152" s="5"/>
      <c r="H152" s="5"/>
    </row>
    <row r="153" spans="5:8">
      <c r="E153" s="5"/>
      <c r="H153" s="5"/>
    </row>
    <row r="154" spans="5:8">
      <c r="E154" s="5"/>
      <c r="H154" s="5"/>
    </row>
    <row r="155" spans="5:8">
      <c r="E155" s="5"/>
      <c r="H155" s="5"/>
    </row>
    <row r="156" spans="5:8">
      <c r="E156" s="5"/>
      <c r="H156" s="5"/>
    </row>
    <row r="157" spans="5:8">
      <c r="E157" s="5"/>
      <c r="H157" s="5"/>
    </row>
    <row r="158" spans="5:8">
      <c r="E158" s="5"/>
      <c r="H158" s="5"/>
    </row>
    <row r="159" spans="5:8">
      <c r="E159" s="5"/>
      <c r="H159" s="5"/>
    </row>
    <row r="160" spans="5:8">
      <c r="E160" s="5"/>
      <c r="H160" s="5"/>
    </row>
    <row r="161" spans="5:8">
      <c r="E161" s="5"/>
      <c r="H161" s="5"/>
    </row>
    <row r="162" spans="5:8">
      <c r="E162" s="5"/>
      <c r="H162" s="5"/>
    </row>
    <row r="163" spans="5:8">
      <c r="E163" s="5"/>
      <c r="H163" s="5"/>
    </row>
    <row r="164" spans="5:8">
      <c r="E164" s="5"/>
      <c r="H164" s="5"/>
    </row>
    <row r="165" spans="5:8">
      <c r="E165" s="5"/>
      <c r="H165" s="5"/>
    </row>
    <row r="166" spans="5:8">
      <c r="E166" s="5"/>
      <c r="H166" s="5"/>
    </row>
    <row r="167" spans="5:8">
      <c r="E167" s="5"/>
      <c r="H167" s="5"/>
    </row>
    <row r="168" spans="5:8">
      <c r="E168" s="5"/>
      <c r="H168" s="5"/>
    </row>
    <row r="169" spans="5:8">
      <c r="E169" s="5"/>
      <c r="H169" s="5"/>
    </row>
    <row r="170" spans="5:8">
      <c r="E170" s="5"/>
      <c r="H170" s="5"/>
    </row>
    <row r="171" spans="5:8">
      <c r="E171" s="5"/>
      <c r="H171" s="5"/>
    </row>
    <row r="172" spans="5:8">
      <c r="E172" s="5"/>
      <c r="H172" s="5"/>
    </row>
    <row r="173" spans="5:8">
      <c r="E173" s="5"/>
      <c r="H173" s="5"/>
    </row>
    <row r="174" spans="5:8">
      <c r="E174" s="5"/>
      <c r="H174" s="5"/>
    </row>
    <row r="175" spans="5:8">
      <c r="E175" s="5"/>
      <c r="H175" s="5"/>
    </row>
    <row r="176" spans="5:8">
      <c r="E176" s="5"/>
      <c r="H176" s="5"/>
    </row>
    <row r="177" spans="5:8">
      <c r="E177" s="5"/>
      <c r="H177" s="5"/>
    </row>
    <row r="178" spans="5:8">
      <c r="E178" s="5"/>
      <c r="H178" s="5"/>
    </row>
    <row r="179" spans="5:8">
      <c r="E179" s="5"/>
      <c r="H179" s="5"/>
    </row>
    <row r="180" spans="5:8">
      <c r="E180" s="5"/>
      <c r="H180" s="5"/>
    </row>
    <row r="181" spans="5:8">
      <c r="E181" s="5"/>
      <c r="H181" s="5"/>
    </row>
    <row r="182" spans="5:8">
      <c r="E182" s="5"/>
      <c r="H182" s="5"/>
    </row>
    <row r="183" spans="5:8">
      <c r="E183" s="5"/>
      <c r="H183" s="5"/>
    </row>
    <row r="184" spans="5:8">
      <c r="E184" s="5"/>
      <c r="H184" s="5"/>
    </row>
    <row r="185" spans="5:8">
      <c r="E185" s="5"/>
      <c r="H185" s="5"/>
    </row>
    <row r="186" spans="5:8">
      <c r="E186" s="5"/>
      <c r="H186" s="5"/>
    </row>
    <row r="187" spans="5:8">
      <c r="E187" s="5"/>
      <c r="H187" s="5"/>
    </row>
    <row r="188" spans="5:8">
      <c r="E188" s="5"/>
      <c r="H188" s="5"/>
    </row>
    <row r="189" spans="5:8">
      <c r="E189" s="5"/>
      <c r="H189" s="5"/>
    </row>
    <row r="190" spans="5:8">
      <c r="E190" s="5"/>
      <c r="H190" s="5"/>
    </row>
    <row r="191" spans="5:8">
      <c r="E191" s="5"/>
      <c r="H191" s="5"/>
    </row>
    <row r="192" spans="5:8">
      <c r="E192" s="5"/>
      <c r="H192" s="5"/>
    </row>
    <row r="193" spans="5:8">
      <c r="E193" s="5"/>
      <c r="H193" s="5"/>
    </row>
    <row r="194" spans="5:8">
      <c r="E194" s="5"/>
      <c r="H194" s="5"/>
    </row>
    <row r="195" spans="5:8">
      <c r="E195" s="5"/>
      <c r="H195" s="5"/>
    </row>
    <row r="196" spans="5:8">
      <c r="E196" s="5"/>
      <c r="H196" s="5"/>
    </row>
    <row r="197" spans="5:8">
      <c r="E197" s="5"/>
      <c r="H197" s="5"/>
    </row>
    <row r="198" spans="5:8">
      <c r="E198" s="5"/>
      <c r="H198" s="5"/>
    </row>
    <row r="199" spans="5:8">
      <c r="E199" s="5"/>
      <c r="H199" s="5"/>
    </row>
    <row r="200" spans="5:8">
      <c r="E200" s="5"/>
      <c r="H200" s="5"/>
    </row>
    <row r="201" spans="5:8">
      <c r="E201" s="5"/>
      <c r="H201" s="5"/>
    </row>
    <row r="202" spans="5:8">
      <c r="E202" s="5"/>
      <c r="H202" s="5"/>
    </row>
    <row r="203" spans="5:8">
      <c r="E203" s="5"/>
      <c r="H203" s="5"/>
    </row>
    <row r="204" spans="5:8">
      <c r="E204" s="5"/>
      <c r="H204" s="5"/>
    </row>
    <row r="205" spans="5:8">
      <c r="E205" s="5"/>
      <c r="H205" s="5"/>
    </row>
    <row r="206" spans="5:8">
      <c r="E206" s="5"/>
      <c r="H206" s="5"/>
    </row>
    <row r="207" spans="5:8">
      <c r="E207" s="5"/>
      <c r="H207" s="5"/>
    </row>
    <row r="208" spans="5:8">
      <c r="E208" s="5"/>
      <c r="H208" s="5"/>
    </row>
    <row r="209" spans="5:8">
      <c r="E209" s="5"/>
      <c r="H209" s="5"/>
    </row>
    <row r="210" spans="5:8">
      <c r="E210" s="5"/>
      <c r="H210" s="5"/>
    </row>
    <row r="211" spans="5:8">
      <c r="E211" s="5"/>
      <c r="H211" s="5"/>
    </row>
    <row r="212" spans="5:8">
      <c r="E212" s="5"/>
      <c r="H212" s="5"/>
    </row>
    <row r="213" spans="5:8">
      <c r="E213" s="5"/>
      <c r="H213" s="5"/>
    </row>
    <row r="214" spans="5:8">
      <c r="E214" s="5"/>
      <c r="H214" s="5"/>
    </row>
    <row r="215" spans="5:8">
      <c r="E215" s="5"/>
      <c r="H215" s="5"/>
    </row>
    <row r="216" spans="5:8">
      <c r="E216" s="5"/>
      <c r="H216" s="5"/>
    </row>
    <row r="217" spans="5:8">
      <c r="E217" s="5"/>
      <c r="H217" s="5"/>
    </row>
    <row r="218" spans="5:8">
      <c r="E218" s="5"/>
      <c r="H218" s="5"/>
    </row>
    <row r="219" spans="5:8">
      <c r="E219" s="5"/>
      <c r="H219" s="5"/>
    </row>
    <row r="220" spans="5:8">
      <c r="E220" s="5"/>
      <c r="H220" s="5"/>
    </row>
    <row r="221" spans="5:8">
      <c r="E221" s="5"/>
      <c r="H221" s="5"/>
    </row>
    <row r="222" spans="5:8">
      <c r="E222" s="5"/>
      <c r="H222" s="5"/>
    </row>
    <row r="223" spans="5:8">
      <c r="E223" s="5"/>
      <c r="H223" s="5"/>
    </row>
    <row r="224" spans="5:8">
      <c r="E224" s="5"/>
      <c r="H224" s="5"/>
    </row>
    <row r="225" spans="5:8">
      <c r="E225" s="5"/>
      <c r="H225" s="5"/>
    </row>
    <row r="226" spans="5:8">
      <c r="E226" s="5"/>
      <c r="H226" s="5"/>
    </row>
    <row r="227" spans="5:8">
      <c r="E227" s="5"/>
      <c r="H227" s="5"/>
    </row>
    <row r="228" spans="5:8">
      <c r="E228" s="5"/>
      <c r="H228" s="5"/>
    </row>
    <row r="229" spans="5:8">
      <c r="E229" s="5"/>
      <c r="H229" s="5"/>
    </row>
    <row r="230" spans="5:8">
      <c r="E230" s="5"/>
      <c r="H230" s="5"/>
    </row>
    <row r="231" spans="5:8">
      <c r="E231" s="5"/>
      <c r="H231" s="5"/>
    </row>
    <row r="232" spans="5:8">
      <c r="E232" s="5"/>
      <c r="H232" s="5"/>
    </row>
    <row r="233" spans="5:8">
      <c r="E233" s="5"/>
      <c r="H233" s="5"/>
    </row>
    <row r="234" spans="5:8">
      <c r="E234" s="5"/>
      <c r="H234" s="5"/>
    </row>
    <row r="235" spans="5:8">
      <c r="E235" s="5"/>
      <c r="H235" s="5"/>
    </row>
    <row r="236" spans="5:8">
      <c r="E236" s="5"/>
      <c r="H236" s="5"/>
    </row>
    <row r="237" spans="5:8">
      <c r="E237" s="5"/>
      <c r="H237" s="5"/>
    </row>
    <row r="238" spans="5:8">
      <c r="E238" s="5"/>
      <c r="H238" s="5"/>
    </row>
    <row r="239" spans="5:8">
      <c r="E239" s="5"/>
      <c r="H239" s="5"/>
    </row>
    <row r="240" spans="5:8">
      <c r="E240" s="5"/>
      <c r="H240" s="5"/>
    </row>
    <row r="241" spans="5:8">
      <c r="E241" s="5"/>
      <c r="H241" s="5"/>
    </row>
    <row r="242" spans="5:8">
      <c r="E242" s="5"/>
      <c r="H242" s="5"/>
    </row>
    <row r="243" spans="5:8">
      <c r="E243" s="5"/>
      <c r="H243" s="5"/>
    </row>
    <row r="244" spans="5:8">
      <c r="E244" s="5"/>
      <c r="H244" s="5"/>
    </row>
    <row r="245" spans="5:8">
      <c r="E245" s="5"/>
      <c r="H245" s="5"/>
    </row>
    <row r="246" spans="5:8">
      <c r="E246" s="5"/>
      <c r="H246" s="5"/>
    </row>
    <row r="247" spans="5:8">
      <c r="E247" s="5"/>
      <c r="H247" s="5"/>
    </row>
    <row r="248" spans="5:8">
      <c r="E248" s="5"/>
      <c r="H248" s="5"/>
    </row>
    <row r="249" spans="5:8">
      <c r="E249" s="5"/>
      <c r="H249" s="5"/>
    </row>
    <row r="250" spans="5:8">
      <c r="E250" s="5"/>
      <c r="H250" s="5"/>
    </row>
    <row r="251" spans="5:8">
      <c r="E251" s="5"/>
      <c r="H251" s="5"/>
    </row>
    <row r="252" spans="5:8">
      <c r="E252" s="5"/>
      <c r="H252" s="5"/>
    </row>
    <row r="253" spans="5:8">
      <c r="E253" s="5"/>
      <c r="H253" s="5"/>
    </row>
    <row r="254" spans="5:8">
      <c r="E254" s="5"/>
      <c r="H254" s="5"/>
    </row>
    <row r="255" spans="5:8">
      <c r="E255" s="5"/>
      <c r="H255" s="5"/>
    </row>
    <row r="256" spans="5:8">
      <c r="E256" s="5"/>
      <c r="H256" s="5"/>
    </row>
    <row r="257" spans="5:8">
      <c r="E257" s="5"/>
      <c r="H257" s="5"/>
    </row>
    <row r="258" spans="5:8">
      <c r="E258" s="5"/>
      <c r="H258" s="5"/>
    </row>
    <row r="259" spans="5:8">
      <c r="E259" s="5"/>
      <c r="H259" s="5"/>
    </row>
    <row r="260" spans="5:8">
      <c r="E260" s="5"/>
      <c r="H260" s="5"/>
    </row>
    <row r="261" spans="5:8">
      <c r="E261" s="5"/>
      <c r="H261" s="5"/>
    </row>
    <row r="262" spans="5:8">
      <c r="E262" s="5"/>
      <c r="H262" s="5"/>
    </row>
    <row r="263" spans="5:8">
      <c r="E263" s="5"/>
      <c r="H263" s="5"/>
    </row>
    <row r="264" spans="5:8">
      <c r="E264" s="5"/>
      <c r="H264" s="5"/>
    </row>
    <row r="265" spans="5:8">
      <c r="E265" s="5"/>
      <c r="H265" s="5"/>
    </row>
    <row r="266" spans="5:8">
      <c r="E266" s="5"/>
      <c r="H266" s="5"/>
    </row>
    <row r="267" spans="5:8">
      <c r="E267" s="5"/>
      <c r="H267" s="5"/>
    </row>
    <row r="268" spans="5:8">
      <c r="E268" s="5"/>
      <c r="H268" s="5"/>
    </row>
    <row r="269" spans="5:8">
      <c r="E269" s="5"/>
      <c r="H269" s="5"/>
    </row>
    <row r="270" spans="5:8">
      <c r="E270" s="5"/>
      <c r="H270" s="5"/>
    </row>
    <row r="271" spans="5:8">
      <c r="E271" s="5"/>
      <c r="H271" s="5"/>
    </row>
    <row r="272" spans="5:8">
      <c r="E272" s="5"/>
      <c r="H272" s="5"/>
    </row>
    <row r="273" spans="5:8">
      <c r="E273" s="5"/>
      <c r="H273" s="5"/>
    </row>
    <row r="274" spans="5:8">
      <c r="E274" s="5"/>
      <c r="H274" s="5"/>
    </row>
    <row r="275" spans="5:8">
      <c r="E275" s="5"/>
      <c r="H275" s="5"/>
    </row>
    <row r="276" spans="5:8">
      <c r="E276" s="5"/>
      <c r="H276" s="5"/>
    </row>
    <row r="277" spans="5:8">
      <c r="E277" s="5"/>
      <c r="H277" s="5"/>
    </row>
    <row r="278" spans="5:8">
      <c r="E278" s="5"/>
      <c r="H278" s="5"/>
    </row>
    <row r="279" spans="5:8">
      <c r="E279" s="5"/>
      <c r="H279" s="5"/>
    </row>
    <row r="280" spans="5:8">
      <c r="E280" s="5"/>
      <c r="H280" s="5"/>
    </row>
    <row r="281" spans="5:8">
      <c r="E281" s="5"/>
      <c r="H281" s="5"/>
    </row>
    <row r="282" spans="5:8">
      <c r="E282" s="5"/>
      <c r="H282" s="5"/>
    </row>
    <row r="283" spans="5:8">
      <c r="E283" s="5"/>
      <c r="H283" s="5"/>
    </row>
    <row r="284" spans="5:8">
      <c r="E284" s="5"/>
      <c r="H284" s="5"/>
    </row>
    <row r="285" spans="5:8">
      <c r="E285" s="5"/>
      <c r="H285" s="5"/>
    </row>
    <row r="286" spans="5:8">
      <c r="E286" s="5"/>
      <c r="H286" s="5"/>
    </row>
    <row r="287" spans="5:8">
      <c r="E287" s="5"/>
      <c r="H287" s="5"/>
    </row>
    <row r="288" spans="5:8">
      <c r="E288" s="5"/>
      <c r="H288" s="5"/>
    </row>
    <row r="289" spans="5:8">
      <c r="E289" s="5"/>
      <c r="H289" s="5"/>
    </row>
    <row r="290" spans="5:8">
      <c r="E290" s="5"/>
      <c r="H290" s="5"/>
    </row>
    <row r="291" spans="5:8">
      <c r="E291" s="5"/>
      <c r="H291" s="5"/>
    </row>
    <row r="292" spans="5:8">
      <c r="E292" s="5"/>
      <c r="H292" s="5"/>
    </row>
    <row r="293" spans="5:8">
      <c r="E293" s="5"/>
      <c r="H293" s="5"/>
    </row>
    <row r="294" spans="5:8">
      <c r="E294" s="5"/>
      <c r="H294" s="5"/>
    </row>
    <row r="295" spans="5:8">
      <c r="E295" s="5"/>
      <c r="H295" s="5"/>
    </row>
    <row r="296" spans="5:8">
      <c r="E296" s="5"/>
      <c r="H296" s="5"/>
    </row>
    <row r="297" spans="5:8">
      <c r="E297" s="5"/>
      <c r="H297" s="5"/>
    </row>
    <row r="298" spans="5:8">
      <c r="E298" s="5"/>
      <c r="H298" s="5"/>
    </row>
    <row r="299" spans="5:8">
      <c r="E299" s="5"/>
      <c r="H299" s="5"/>
    </row>
    <row r="300" spans="5:8">
      <c r="E300" s="5"/>
      <c r="H300" s="5"/>
    </row>
    <row r="301" spans="5:8">
      <c r="E301" s="5"/>
      <c r="H301" s="5"/>
    </row>
    <row r="302" spans="5:8">
      <c r="E302" s="5"/>
      <c r="H302" s="5"/>
    </row>
    <row r="303" spans="5:8">
      <c r="E303" s="5"/>
      <c r="H303" s="5"/>
    </row>
    <row r="304" spans="5:8">
      <c r="E304" s="5"/>
      <c r="H304" s="5"/>
    </row>
    <row r="305" spans="5:8">
      <c r="E305" s="5"/>
      <c r="H305" s="5"/>
    </row>
    <row r="306" spans="5:8">
      <c r="E306" s="5"/>
      <c r="H306" s="5"/>
    </row>
    <row r="307" spans="5:8">
      <c r="E307" s="5"/>
      <c r="H307" s="5"/>
    </row>
    <row r="308" spans="5:8">
      <c r="E308" s="5"/>
      <c r="H308" s="5"/>
    </row>
    <row r="309" spans="5:8">
      <c r="E309" s="5"/>
      <c r="H309" s="5"/>
    </row>
    <row r="310" spans="5:8">
      <c r="E310" s="5"/>
      <c r="H310" s="5"/>
    </row>
    <row r="311" spans="5:8">
      <c r="E311" s="5"/>
      <c r="H311" s="5"/>
    </row>
    <row r="312" spans="5:8">
      <c r="E312" s="5"/>
      <c r="H312" s="5"/>
    </row>
    <row r="313" spans="5:8">
      <c r="E313" s="5"/>
      <c r="H313" s="5"/>
    </row>
    <row r="314" spans="5:8">
      <c r="E314" s="5"/>
      <c r="H314" s="5"/>
    </row>
    <row r="315" spans="5:8">
      <c r="E315" s="5"/>
      <c r="H315" s="5"/>
    </row>
    <row r="316" spans="5:8">
      <c r="E316" s="5"/>
      <c r="H316" s="5"/>
    </row>
    <row r="317" spans="5:8">
      <c r="E317" s="5"/>
      <c r="H317" s="5"/>
    </row>
    <row r="318" spans="5:8">
      <c r="E318" s="5"/>
      <c r="H318" s="5"/>
    </row>
    <row r="319" spans="5:8">
      <c r="E319" s="5"/>
      <c r="H319" s="5"/>
    </row>
    <row r="320" spans="5:8">
      <c r="E320" s="5"/>
      <c r="H320" s="5"/>
    </row>
    <row r="321" spans="5:8">
      <c r="E321" s="5"/>
      <c r="H321" s="5"/>
    </row>
    <row r="322" spans="5:8">
      <c r="E322" s="5"/>
      <c r="H322" s="5"/>
    </row>
    <row r="323" spans="5:8">
      <c r="E323" s="5"/>
      <c r="H323" s="5"/>
    </row>
    <row r="324" spans="5:8">
      <c r="E324" s="5"/>
      <c r="H324" s="5"/>
    </row>
    <row r="325" spans="5:8">
      <c r="E325" s="5"/>
      <c r="H325" s="5"/>
    </row>
    <row r="326" spans="5:8">
      <c r="E326" s="5"/>
      <c r="H326" s="5"/>
    </row>
    <row r="327" spans="5:8">
      <c r="E327" s="5"/>
      <c r="H327" s="5"/>
    </row>
    <row r="328" spans="5:8">
      <c r="E328" s="5"/>
      <c r="H328" s="5"/>
    </row>
    <row r="329" spans="5:8">
      <c r="E329" s="5"/>
      <c r="H329" s="5"/>
    </row>
    <row r="330" spans="5:8">
      <c r="E330" s="5"/>
      <c r="H330" s="5"/>
    </row>
    <row r="331" spans="5:8">
      <c r="E331" s="5"/>
      <c r="H331" s="5"/>
    </row>
    <row r="332" spans="5:8">
      <c r="E332" s="5"/>
      <c r="H332" s="5"/>
    </row>
    <row r="333" spans="5:8">
      <c r="E333" s="5"/>
      <c r="H333" s="5"/>
    </row>
    <row r="334" spans="5:8">
      <c r="E334" s="5"/>
      <c r="H334" s="5"/>
    </row>
    <row r="335" spans="5:8">
      <c r="E335" s="5"/>
      <c r="H335" s="5"/>
    </row>
    <row r="336" spans="5:8">
      <c r="E336" s="5"/>
      <c r="H336" s="5"/>
    </row>
    <row r="337" spans="5:8">
      <c r="E337" s="5"/>
      <c r="H337" s="5"/>
    </row>
    <row r="338" spans="5:8">
      <c r="E338" s="5"/>
      <c r="H338" s="5"/>
    </row>
    <row r="339" spans="5:8">
      <c r="E339" s="5"/>
      <c r="H339" s="5"/>
    </row>
    <row r="340" spans="5:8">
      <c r="E340" s="5"/>
      <c r="H340" s="5"/>
    </row>
    <row r="341" spans="5:8">
      <c r="E341" s="5"/>
      <c r="H341" s="5"/>
    </row>
    <row r="342" spans="5:8">
      <c r="E342" s="5"/>
      <c r="H342" s="5"/>
    </row>
    <row r="343" spans="5:8">
      <c r="E343" s="5"/>
      <c r="H343" s="5"/>
    </row>
    <row r="344" spans="5:8">
      <c r="E344" s="5"/>
      <c r="H344" s="5"/>
    </row>
    <row r="345" spans="5:8">
      <c r="E345" s="5"/>
      <c r="H345" s="5"/>
    </row>
    <row r="346" spans="5:8">
      <c r="E346" s="5"/>
      <c r="H346" s="5"/>
    </row>
    <row r="347" spans="5:8">
      <c r="E347" s="5"/>
      <c r="H347" s="5"/>
    </row>
    <row r="348" spans="5:8">
      <c r="E348" s="5"/>
      <c r="H348" s="5"/>
    </row>
    <row r="349" spans="5:8">
      <c r="E349" s="5"/>
      <c r="H349" s="5"/>
    </row>
    <row r="350" spans="5:8">
      <c r="E350" s="5"/>
      <c r="H350" s="5"/>
    </row>
    <row r="351" spans="5:8">
      <c r="E351" s="5"/>
      <c r="H351" s="5"/>
    </row>
    <row r="352" spans="5:8">
      <c r="E352" s="5"/>
      <c r="H352" s="5"/>
    </row>
    <row r="353" spans="5:8">
      <c r="E353" s="5"/>
      <c r="H353" s="5"/>
    </row>
    <row r="354" spans="5:8">
      <c r="E354" s="5"/>
      <c r="H354" s="5"/>
    </row>
    <row r="355" spans="5:8">
      <c r="E355" s="5"/>
      <c r="H355" s="5"/>
    </row>
    <row r="356" spans="5:8">
      <c r="E356" s="5"/>
      <c r="H356" s="5"/>
    </row>
    <row r="357" spans="5:8">
      <c r="E357" s="5"/>
      <c r="H357" s="5"/>
    </row>
    <row r="358" spans="5:8">
      <c r="E358" s="5"/>
      <c r="H358" s="5"/>
    </row>
    <row r="359" spans="5:8">
      <c r="E359" s="5"/>
      <c r="H359" s="5"/>
    </row>
    <row r="360" spans="5:8">
      <c r="E360" s="5"/>
      <c r="H360" s="5"/>
    </row>
    <row r="361" spans="5:8">
      <c r="E361" s="5"/>
      <c r="H361" s="5"/>
    </row>
    <row r="362" spans="5:8">
      <c r="E362" s="5"/>
      <c r="H362" s="5"/>
    </row>
    <row r="363" spans="5:8">
      <c r="E363" s="5"/>
      <c r="H363" s="5"/>
    </row>
    <row r="364" spans="5:8">
      <c r="E364" s="5"/>
      <c r="H364" s="5"/>
    </row>
    <row r="365" spans="5:8">
      <c r="E365" s="5"/>
      <c r="H365" s="5"/>
    </row>
    <row r="366" spans="5:8">
      <c r="E366" s="5"/>
      <c r="H366" s="5"/>
    </row>
    <row r="367" spans="5:8">
      <c r="E367" s="5"/>
      <c r="H367" s="5"/>
    </row>
    <row r="368" spans="5:8">
      <c r="E368" s="5"/>
      <c r="H368" s="5"/>
    </row>
    <row r="369" spans="5:8">
      <c r="E369" s="5"/>
      <c r="H369" s="5"/>
    </row>
    <row r="370" spans="5:8">
      <c r="E370" s="5"/>
      <c r="H370" s="5"/>
    </row>
    <row r="371" spans="5:8">
      <c r="E371" s="5"/>
      <c r="H371" s="5"/>
    </row>
    <row r="372" spans="5:8">
      <c r="E372" s="5"/>
      <c r="H372" s="5"/>
    </row>
    <row r="373" spans="5:8">
      <c r="E373" s="5"/>
      <c r="H373" s="5"/>
    </row>
    <row r="374" spans="5:8">
      <c r="E374" s="5"/>
      <c r="H374" s="5"/>
    </row>
    <row r="375" spans="5:8">
      <c r="E375" s="5"/>
      <c r="H375" s="5"/>
    </row>
    <row r="376" spans="5:8">
      <c r="E376" s="5"/>
      <c r="H376" s="5"/>
    </row>
    <row r="377" spans="5:8">
      <c r="E377" s="5"/>
      <c r="H377" s="5"/>
    </row>
    <row r="378" spans="5:8">
      <c r="E378" s="5"/>
      <c r="H378" s="5"/>
    </row>
    <row r="379" spans="5:8">
      <c r="E379" s="5"/>
      <c r="H379" s="5"/>
    </row>
    <row r="380" spans="5:8">
      <c r="E380" s="5"/>
      <c r="H380" s="5"/>
    </row>
    <row r="381" spans="5:8">
      <c r="E381" s="5"/>
      <c r="H381" s="5"/>
    </row>
    <row r="382" spans="5:8">
      <c r="E382" s="5"/>
      <c r="H382" s="5"/>
    </row>
    <row r="383" spans="5:8">
      <c r="E383" s="5"/>
      <c r="H383" s="5"/>
    </row>
    <row r="384" spans="5:8">
      <c r="E384" s="5"/>
      <c r="H384" s="5"/>
    </row>
    <row r="385" spans="5:8">
      <c r="E385" s="5"/>
      <c r="H385" s="5"/>
    </row>
    <row r="386" spans="5:8">
      <c r="E386" s="5"/>
      <c r="H386" s="5"/>
    </row>
    <row r="387" spans="5:8">
      <c r="E387" s="5"/>
      <c r="H387" s="5"/>
    </row>
    <row r="388" spans="5:8">
      <c r="E388" s="5"/>
      <c r="H388" s="5"/>
    </row>
    <row r="389" spans="5:8">
      <c r="E389" s="5"/>
      <c r="H389" s="5"/>
    </row>
    <row r="390" spans="5:8">
      <c r="E390" s="5"/>
      <c r="H390" s="5"/>
    </row>
    <row r="391" spans="5:8">
      <c r="E391" s="5"/>
      <c r="H391" s="5"/>
    </row>
    <row r="392" spans="5:8">
      <c r="E392" s="5"/>
      <c r="H392" s="5"/>
    </row>
    <row r="393" spans="5:8">
      <c r="E393" s="5"/>
      <c r="H393" s="5"/>
    </row>
    <row r="394" spans="5:8">
      <c r="E394" s="5"/>
      <c r="H394" s="5"/>
    </row>
    <row r="395" spans="5:8">
      <c r="E395" s="5"/>
      <c r="H395" s="5"/>
    </row>
    <row r="396" spans="5:8">
      <c r="E396" s="5"/>
      <c r="H396" s="5"/>
    </row>
    <row r="397" spans="5:8">
      <c r="E397" s="5"/>
      <c r="H397" s="5"/>
    </row>
    <row r="398" spans="5:8">
      <c r="E398" s="5"/>
      <c r="H398" s="5"/>
    </row>
    <row r="399" spans="5:8">
      <c r="E399" s="5"/>
      <c r="H399" s="5"/>
    </row>
    <row r="400" spans="5:8">
      <c r="E400" s="5"/>
      <c r="H400" s="5"/>
    </row>
    <row r="401" spans="5:8">
      <c r="E401" s="5"/>
      <c r="H401" s="5"/>
    </row>
    <row r="402" spans="5:8">
      <c r="E402" s="5"/>
      <c r="H402" s="5"/>
    </row>
    <row r="403" spans="5:8">
      <c r="E403" s="5"/>
      <c r="H403" s="5"/>
    </row>
    <row r="404" spans="5:8">
      <c r="E404" s="5"/>
      <c r="H404" s="5"/>
    </row>
    <row r="405" spans="5:8">
      <c r="E405" s="5"/>
      <c r="H405" s="5"/>
    </row>
    <row r="406" spans="5:8">
      <c r="E406" s="5"/>
      <c r="H406" s="5"/>
    </row>
    <row r="407" spans="5:8">
      <c r="E407" s="5"/>
      <c r="H407" s="5"/>
    </row>
    <row r="408" spans="5:8">
      <c r="E408" s="5"/>
      <c r="H408" s="5"/>
    </row>
    <row r="409" spans="5:8">
      <c r="E409" s="5"/>
      <c r="H409" s="5"/>
    </row>
    <row r="410" spans="5:8">
      <c r="E410" s="5"/>
      <c r="H410" s="5"/>
    </row>
    <row r="411" spans="5:8">
      <c r="E411" s="5"/>
      <c r="H411" s="5"/>
    </row>
    <row r="412" spans="5:8">
      <c r="E412" s="5"/>
      <c r="H412" s="5"/>
    </row>
    <row r="413" spans="5:8">
      <c r="E413" s="5"/>
      <c r="H413" s="5"/>
    </row>
    <row r="414" spans="5:8">
      <c r="E414" s="5"/>
      <c r="H414" s="5"/>
    </row>
    <row r="415" spans="5:8">
      <c r="E415" s="5"/>
      <c r="H415" s="5"/>
    </row>
    <row r="416" spans="5:8">
      <c r="E416" s="5"/>
      <c r="H416" s="5"/>
    </row>
    <row r="417" spans="5:8">
      <c r="E417" s="5"/>
      <c r="H417" s="5"/>
    </row>
    <row r="418" spans="5:8">
      <c r="E418" s="5"/>
      <c r="H418" s="5"/>
    </row>
    <row r="419" spans="5:8">
      <c r="E419" s="5"/>
      <c r="H419" s="5"/>
    </row>
    <row r="420" spans="5:8">
      <c r="E420" s="5"/>
      <c r="H420" s="5"/>
    </row>
    <row r="421" spans="5:8">
      <c r="E421" s="5"/>
      <c r="H421" s="5"/>
    </row>
    <row r="422" spans="5:8">
      <c r="E422" s="5"/>
      <c r="H422" s="5"/>
    </row>
    <row r="423" spans="5:8">
      <c r="E423" s="5"/>
      <c r="H423" s="5"/>
    </row>
    <row r="424" spans="5:8">
      <c r="E424" s="5"/>
      <c r="H424" s="5"/>
    </row>
    <row r="425" spans="5:8">
      <c r="E425" s="5"/>
      <c r="H425" s="5"/>
    </row>
    <row r="426" spans="5:8">
      <c r="E426" s="5"/>
      <c r="H426" s="5"/>
    </row>
    <row r="427" spans="5:8">
      <c r="E427" s="5"/>
      <c r="H427" s="5"/>
    </row>
    <row r="428" spans="5:8">
      <c r="E428" s="5"/>
      <c r="H428" s="5"/>
    </row>
    <row r="429" spans="5:8">
      <c r="E429" s="5"/>
      <c r="H429" s="5"/>
    </row>
    <row r="430" spans="5:8">
      <c r="E430" s="5"/>
      <c r="H430" s="5"/>
    </row>
    <row r="431" spans="5:8">
      <c r="E431" s="5"/>
      <c r="H431" s="5"/>
    </row>
    <row r="432" spans="5:8">
      <c r="E432" s="5"/>
      <c r="H432" s="5"/>
    </row>
    <row r="433" spans="5:8">
      <c r="E433" s="5"/>
      <c r="H433" s="5"/>
    </row>
    <row r="434" spans="5:8">
      <c r="E434" s="5"/>
      <c r="H434" s="5"/>
    </row>
    <row r="435" spans="5:8">
      <c r="E435" s="5"/>
      <c r="H435" s="5"/>
    </row>
    <row r="436" spans="5:8">
      <c r="E436" s="5"/>
      <c r="H436" s="5"/>
    </row>
    <row r="437" spans="5:8">
      <c r="E437" s="5"/>
      <c r="H437" s="5"/>
    </row>
    <row r="438" spans="5:8">
      <c r="E438" s="5"/>
      <c r="H438" s="5"/>
    </row>
    <row r="439" spans="5:8">
      <c r="E439" s="5"/>
      <c r="H439" s="5"/>
    </row>
    <row r="440" spans="5:8">
      <c r="E440" s="5"/>
      <c r="H440" s="5"/>
    </row>
    <row r="441" spans="5:8">
      <c r="E441" s="5"/>
      <c r="H441" s="5"/>
    </row>
    <row r="442" spans="5:8">
      <c r="E442" s="5"/>
      <c r="H442" s="5"/>
    </row>
    <row r="443" spans="5:8">
      <c r="E443" s="5"/>
      <c r="H443" s="5"/>
    </row>
    <row r="444" spans="5:8">
      <c r="E444" s="5"/>
      <c r="H444" s="5"/>
    </row>
    <row r="445" spans="5:8">
      <c r="E445" s="5"/>
      <c r="H445" s="5"/>
    </row>
    <row r="446" spans="5:8">
      <c r="E446" s="5"/>
      <c r="H446" s="5"/>
    </row>
    <row r="447" spans="5:8">
      <c r="E447" s="5"/>
      <c r="H447" s="5"/>
    </row>
    <row r="448" spans="5:8">
      <c r="E448" s="5"/>
      <c r="H448" s="5"/>
    </row>
    <row r="449" spans="5:8">
      <c r="E449" s="5"/>
      <c r="H449" s="5"/>
    </row>
    <row r="450" spans="5:8">
      <c r="E450" s="5"/>
      <c r="H450" s="5"/>
    </row>
    <row r="451" spans="5:8">
      <c r="E451" s="5"/>
      <c r="H451" s="5"/>
    </row>
    <row r="452" spans="5:8">
      <c r="E452" s="5"/>
      <c r="H452" s="5"/>
    </row>
    <row r="453" spans="5:8">
      <c r="E453" s="5"/>
      <c r="H453" s="5"/>
    </row>
    <row r="454" spans="5:8">
      <c r="E454" s="5"/>
      <c r="H454" s="5"/>
    </row>
    <row r="455" spans="5:8">
      <c r="E455" s="5"/>
      <c r="H455" s="5"/>
    </row>
    <row r="456" spans="5:8">
      <c r="E456" s="5"/>
      <c r="H456" s="5"/>
    </row>
    <row r="457" spans="5:8">
      <c r="E457" s="5"/>
      <c r="H457" s="5"/>
    </row>
    <row r="458" spans="5:8">
      <c r="E458" s="5"/>
      <c r="H458" s="5"/>
    </row>
    <row r="459" spans="5:8">
      <c r="E459" s="5"/>
      <c r="H459" s="5"/>
    </row>
    <row r="460" spans="5:8">
      <c r="E460" s="5"/>
      <c r="H460" s="5"/>
    </row>
    <row r="461" spans="5:8">
      <c r="E461" s="5"/>
      <c r="H461" s="5"/>
    </row>
    <row r="462" spans="5:8">
      <c r="E462" s="5"/>
      <c r="H462" s="5"/>
    </row>
    <row r="463" spans="5:8">
      <c r="E463" s="5"/>
      <c r="H463" s="5"/>
    </row>
    <row r="464" spans="5:8">
      <c r="E464" s="5"/>
      <c r="H464" s="5"/>
    </row>
    <row r="465" spans="5:8">
      <c r="E465" s="5"/>
      <c r="H465" s="5"/>
    </row>
    <row r="466" spans="5:8">
      <c r="E466" s="5"/>
      <c r="H466" s="5"/>
    </row>
    <row r="467" spans="5:8">
      <c r="E467" s="5"/>
      <c r="H467" s="5"/>
    </row>
    <row r="468" spans="5:8">
      <c r="E468" s="5"/>
      <c r="H468" s="5"/>
    </row>
    <row r="469" spans="5:8">
      <c r="E469" s="5"/>
      <c r="H469" s="5"/>
    </row>
    <row r="470" spans="5:8">
      <c r="E470" s="5"/>
      <c r="H470" s="5"/>
    </row>
    <row r="471" spans="5:8">
      <c r="E471" s="5"/>
      <c r="H471" s="5"/>
    </row>
    <row r="472" spans="5:8">
      <c r="E472" s="5"/>
      <c r="H472" s="5"/>
    </row>
    <row r="473" spans="5:8">
      <c r="E473" s="5"/>
      <c r="H473" s="5"/>
    </row>
    <row r="474" spans="5:8">
      <c r="E474" s="5"/>
      <c r="H474" s="5"/>
    </row>
    <row r="475" spans="5:8">
      <c r="E475" s="5"/>
      <c r="H475" s="5"/>
    </row>
    <row r="476" spans="5:8">
      <c r="E476" s="5"/>
      <c r="H476" s="5"/>
    </row>
    <row r="477" spans="5:8">
      <c r="E477" s="5"/>
      <c r="H477" s="5"/>
    </row>
    <row r="478" spans="5:8">
      <c r="E478" s="5"/>
      <c r="H478" s="5"/>
    </row>
    <row r="479" spans="5:8">
      <c r="E479" s="5"/>
      <c r="H479" s="5"/>
    </row>
    <row r="480" spans="5:8">
      <c r="E480" s="5"/>
      <c r="H480" s="5"/>
    </row>
    <row r="481" spans="5:8">
      <c r="E481" s="5"/>
      <c r="H481" s="5"/>
    </row>
    <row r="482" spans="5:8">
      <c r="E482" s="5"/>
      <c r="H482" s="5"/>
    </row>
    <row r="483" spans="5:8">
      <c r="E483" s="5"/>
      <c r="H483" s="5"/>
    </row>
    <row r="484" spans="5:8">
      <c r="E484" s="5"/>
      <c r="H484" s="5"/>
    </row>
    <row r="485" spans="5:8">
      <c r="E485" s="5"/>
      <c r="H485" s="5"/>
    </row>
    <row r="486" spans="5:8">
      <c r="E486" s="5"/>
      <c r="H486" s="5"/>
    </row>
    <row r="487" spans="5:8">
      <c r="E487" s="5"/>
      <c r="H487" s="5"/>
    </row>
    <row r="488" spans="5:8">
      <c r="E488" s="5"/>
      <c r="H488" s="5"/>
    </row>
    <row r="489" spans="5:8">
      <c r="E489" s="5"/>
      <c r="H489" s="5"/>
    </row>
    <row r="490" spans="5:8">
      <c r="E490" s="5"/>
      <c r="H490" s="5"/>
    </row>
    <row r="491" spans="5:8">
      <c r="E491" s="5"/>
      <c r="H491" s="5"/>
    </row>
    <row r="492" spans="5:8">
      <c r="E492" s="5"/>
      <c r="H492" s="5"/>
    </row>
    <row r="493" spans="5:8">
      <c r="E493" s="5"/>
      <c r="H493" s="5"/>
    </row>
    <row r="494" spans="5:8">
      <c r="E494" s="5"/>
      <c r="H494" s="5"/>
    </row>
    <row r="495" spans="5:8">
      <c r="E495" s="5"/>
      <c r="H495" s="5"/>
    </row>
    <row r="496" spans="5:8">
      <c r="E496" s="5"/>
      <c r="H496" s="5"/>
    </row>
    <row r="497" spans="5:8">
      <c r="E497" s="5"/>
      <c r="H497" s="5"/>
    </row>
    <row r="498" spans="5:8">
      <c r="E498" s="5"/>
      <c r="H498" s="5"/>
    </row>
    <row r="499" spans="5:8">
      <c r="E499" s="5"/>
      <c r="H499" s="5"/>
    </row>
    <row r="500" spans="5:8">
      <c r="E500" s="5"/>
      <c r="H500" s="5"/>
    </row>
  </sheetData>
  <mergeCells count="2">
    <mergeCell ref="A1:I1"/>
    <mergeCell ref="A2:I2"/>
  </mergeCells>
  <conditionalFormatting sqref="C4:C500">
    <cfRule type="expression" dxfId="40" priority="1">
      <formula>OR($C4="Blocked",$C4="Needs Action")</formula>
    </cfRule>
    <cfRule type="expression" dxfId="39" priority="2">
      <formula>OR($C4="Waiting on Others",$C4="Pending",$C4="Under Review")</formula>
    </cfRule>
    <cfRule type="expression" dxfId="38" priority="3">
      <formula>OR($C4="In Progress",$C4="Starts 20 May")</formula>
    </cfRule>
    <cfRule type="expression" dxfId="37" priority="4">
      <formula>OR($C4="Complete",$C4="Ready",$C4="Complete / Under Review")</formula>
    </cfRule>
  </conditionalFormatting>
  <conditionalFormatting sqref="G4:G500">
    <cfRule type="expression" dxfId="36" priority="5">
      <formula>$G4="No"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Lists!$A$4:$A$18</xm:f>
          </x14:formula1>
          <xm:sqref>C4:C500</xm:sqref>
        </x14:dataValidation>
        <x14:dataValidation type="list" xr:uid="{00000000-0002-0000-0500-000001000000}">
          <x14:formula1>
            <xm:f>Lists!$E$4:$E$5</xm:f>
          </x14:formula1>
          <xm:sqref>G4:G500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00"/>
  <sheetViews>
    <sheetView topLeftCell="A21" workbookViewId="0">
      <selection activeCell="E26" sqref="E26"/>
    </sheetView>
  </sheetViews>
  <sheetFormatPr defaultRowHeight="14"/>
  <cols>
    <col min="1" max="2" width="18" customWidth="1"/>
    <col min="3" max="3" width="38" customWidth="1"/>
    <col min="4" max="6" width="16" customWidth="1"/>
    <col min="7" max="7" width="14" customWidth="1"/>
    <col min="8" max="10" width="16" customWidth="1"/>
    <col min="11" max="14" width="14" customWidth="1"/>
    <col min="15" max="15" width="38" customWidth="1"/>
  </cols>
  <sheetData>
    <row r="1" spans="1:15" ht="20">
      <c r="A1" s="7" t="s">
        <v>209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>
      <c r="A2" s="9" t="s">
        <v>106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>
      <c r="A3" s="1" t="s">
        <v>210</v>
      </c>
      <c r="B3" s="1" t="s">
        <v>107</v>
      </c>
      <c r="C3" s="1" t="s">
        <v>211</v>
      </c>
      <c r="D3" s="1" t="s">
        <v>212</v>
      </c>
      <c r="E3" s="1" t="s">
        <v>31</v>
      </c>
      <c r="F3" s="1" t="s">
        <v>32</v>
      </c>
      <c r="G3" s="1" t="s">
        <v>205</v>
      </c>
      <c r="H3" s="1" t="s">
        <v>213</v>
      </c>
      <c r="I3" s="1" t="s">
        <v>214</v>
      </c>
      <c r="J3" s="1" t="s">
        <v>215</v>
      </c>
      <c r="K3" s="1" t="s">
        <v>216</v>
      </c>
      <c r="L3" s="1" t="s">
        <v>117</v>
      </c>
      <c r="M3" s="1" t="s">
        <v>118</v>
      </c>
      <c r="N3" s="1" t="s">
        <v>17</v>
      </c>
      <c r="O3" s="1" t="s">
        <v>18</v>
      </c>
    </row>
    <row r="4" spans="1:15" ht="14" customHeight="1">
      <c r="A4" s="2" t="s">
        <v>617</v>
      </c>
      <c r="B4" s="2" t="s">
        <v>513</v>
      </c>
      <c r="C4" s="2" t="s">
        <v>618</v>
      </c>
      <c r="D4" s="2" t="s">
        <v>619</v>
      </c>
      <c r="E4" s="2" t="s">
        <v>96</v>
      </c>
      <c r="F4" s="2" t="s">
        <v>53</v>
      </c>
      <c r="G4" s="4">
        <v>46152</v>
      </c>
      <c r="H4" s="2" t="s">
        <v>620</v>
      </c>
      <c r="I4" s="2" t="s">
        <v>621</v>
      </c>
      <c r="J4" s="2" t="s">
        <v>48</v>
      </c>
      <c r="K4" s="4">
        <v>46149</v>
      </c>
      <c r="L4" s="2" t="s">
        <v>46</v>
      </c>
      <c r="M4" s="2">
        <v>1</v>
      </c>
      <c r="N4" s="4">
        <v>46156</v>
      </c>
      <c r="O4" s="2" t="s">
        <v>622</v>
      </c>
    </row>
    <row r="5" spans="1:15" ht="14" customHeight="1">
      <c r="A5" s="2" t="s">
        <v>623</v>
      </c>
      <c r="B5" s="2" t="s">
        <v>513</v>
      </c>
      <c r="C5" s="2" t="s">
        <v>1158</v>
      </c>
      <c r="D5" s="2" t="s">
        <v>1159</v>
      </c>
      <c r="E5" s="2" t="s">
        <v>52</v>
      </c>
      <c r="F5" s="2" t="s">
        <v>53</v>
      </c>
      <c r="G5" s="4">
        <v>46152</v>
      </c>
      <c r="H5" s="2" t="s">
        <v>625</v>
      </c>
      <c r="I5" s="2" t="s">
        <v>626</v>
      </c>
      <c r="J5" s="2" t="s">
        <v>48</v>
      </c>
      <c r="K5" s="4">
        <v>46149</v>
      </c>
      <c r="L5" s="2" t="s">
        <v>46</v>
      </c>
      <c r="M5" s="2">
        <v>2</v>
      </c>
      <c r="N5" s="4">
        <v>46156</v>
      </c>
      <c r="O5" s="2"/>
    </row>
    <row r="6" spans="1:15" ht="14" customHeight="1">
      <c r="A6" s="2" t="s">
        <v>627</v>
      </c>
      <c r="B6" s="2" t="s">
        <v>513</v>
      </c>
      <c r="C6" s="2" t="s">
        <v>628</v>
      </c>
      <c r="D6" s="2" t="s">
        <v>629</v>
      </c>
      <c r="E6" s="2" t="s">
        <v>71</v>
      </c>
      <c r="F6" s="2" t="s">
        <v>53</v>
      </c>
      <c r="G6" s="4">
        <v>46152</v>
      </c>
      <c r="H6" s="2" t="s">
        <v>630</v>
      </c>
      <c r="I6" s="2" t="s">
        <v>631</v>
      </c>
      <c r="J6" s="2" t="s">
        <v>67</v>
      </c>
      <c r="K6" s="4">
        <v>46152</v>
      </c>
      <c r="L6" s="2" t="s">
        <v>46</v>
      </c>
      <c r="M6" s="2">
        <v>3</v>
      </c>
      <c r="N6" s="4">
        <v>46156</v>
      </c>
      <c r="O6" s="2"/>
    </row>
    <row r="7" spans="1:15">
      <c r="A7" s="2"/>
      <c r="B7" s="2"/>
      <c r="C7" s="2"/>
      <c r="D7" s="2"/>
      <c r="E7" s="2"/>
      <c r="F7" s="2"/>
      <c r="G7" s="4"/>
      <c r="H7" s="2"/>
      <c r="I7" s="2"/>
      <c r="J7" s="2"/>
      <c r="K7" s="4"/>
      <c r="L7" s="2"/>
      <c r="M7" s="2"/>
      <c r="N7" s="4"/>
      <c r="O7" s="2"/>
    </row>
    <row r="8" spans="1:15" ht="14" customHeight="1">
      <c r="A8" s="2" t="s">
        <v>632</v>
      </c>
      <c r="B8" s="2" t="s">
        <v>515</v>
      </c>
      <c r="C8" s="2" t="s">
        <v>633</v>
      </c>
      <c r="D8" s="2" t="s">
        <v>634</v>
      </c>
      <c r="E8" s="2" t="s">
        <v>86</v>
      </c>
      <c r="F8" s="2" t="s">
        <v>53</v>
      </c>
      <c r="G8" s="4">
        <v>46155</v>
      </c>
      <c r="H8" s="2" t="s">
        <v>635</v>
      </c>
      <c r="I8" s="2" t="s">
        <v>636</v>
      </c>
      <c r="J8" s="2" t="s">
        <v>67</v>
      </c>
      <c r="K8" s="4">
        <v>46152</v>
      </c>
      <c r="L8" s="2" t="s">
        <v>46</v>
      </c>
      <c r="M8" s="2">
        <v>1</v>
      </c>
      <c r="N8" s="4">
        <v>46156</v>
      </c>
      <c r="O8" s="2" t="s">
        <v>637</v>
      </c>
    </row>
    <row r="9" spans="1:15" ht="14" customHeight="1">
      <c r="A9" s="2" t="s">
        <v>638</v>
      </c>
      <c r="B9" s="2" t="s">
        <v>515</v>
      </c>
      <c r="C9" s="2" t="s">
        <v>639</v>
      </c>
      <c r="D9" s="2" t="s">
        <v>634</v>
      </c>
      <c r="E9" s="2" t="s">
        <v>86</v>
      </c>
      <c r="F9" s="2" t="s">
        <v>53</v>
      </c>
      <c r="G9" s="4">
        <v>46155</v>
      </c>
      <c r="H9" s="2" t="s">
        <v>640</v>
      </c>
      <c r="I9" s="2" t="s">
        <v>641</v>
      </c>
      <c r="J9" s="2" t="s">
        <v>67</v>
      </c>
      <c r="K9" s="4">
        <v>46152</v>
      </c>
      <c r="L9" s="2" t="s">
        <v>46</v>
      </c>
      <c r="M9" s="2">
        <v>2</v>
      </c>
      <c r="N9" s="4">
        <v>46156</v>
      </c>
      <c r="O9" s="2"/>
    </row>
    <row r="10" spans="1:15">
      <c r="A10" s="2"/>
      <c r="B10" s="2"/>
      <c r="C10" s="2"/>
      <c r="D10" s="2"/>
      <c r="E10" s="2"/>
      <c r="F10" s="2"/>
      <c r="G10" s="4"/>
      <c r="H10" s="2"/>
      <c r="I10" s="2"/>
      <c r="J10" s="2"/>
      <c r="K10" s="4"/>
      <c r="L10" s="2"/>
      <c r="M10" s="2"/>
      <c r="N10" s="4"/>
      <c r="O10" s="2"/>
    </row>
    <row r="11" spans="1:15" ht="14" customHeight="1">
      <c r="A11" s="2" t="s">
        <v>642</v>
      </c>
      <c r="B11" s="2" t="s">
        <v>518</v>
      </c>
      <c r="C11" s="2" t="s">
        <v>1126</v>
      </c>
      <c r="D11" s="2" t="s">
        <v>208</v>
      </c>
      <c r="E11" s="2" t="s">
        <v>71</v>
      </c>
      <c r="F11" s="2" t="s">
        <v>53</v>
      </c>
      <c r="G11" s="4">
        <v>46157</v>
      </c>
      <c r="H11" s="2" t="s">
        <v>643</v>
      </c>
      <c r="I11" s="2" t="s">
        <v>644</v>
      </c>
      <c r="J11" s="2" t="s">
        <v>48</v>
      </c>
      <c r="K11" s="4">
        <v>46156</v>
      </c>
      <c r="L11" s="2" t="s">
        <v>46</v>
      </c>
      <c r="M11" s="2">
        <v>1</v>
      </c>
      <c r="N11" s="4">
        <v>46156</v>
      </c>
      <c r="O11" s="2" t="s">
        <v>1127</v>
      </c>
    </row>
    <row r="12" spans="1:15" ht="14" customHeight="1">
      <c r="A12" s="2" t="s">
        <v>645</v>
      </c>
      <c r="B12" s="2" t="s">
        <v>518</v>
      </c>
      <c r="C12" s="2" t="s">
        <v>1128</v>
      </c>
      <c r="D12" s="2" t="s">
        <v>646</v>
      </c>
      <c r="E12" s="2" t="s">
        <v>96</v>
      </c>
      <c r="F12" s="2" t="s">
        <v>43</v>
      </c>
      <c r="G12" s="4">
        <v>46157</v>
      </c>
      <c r="H12" s="2" t="s">
        <v>647</v>
      </c>
      <c r="I12" s="2" t="s">
        <v>648</v>
      </c>
      <c r="J12" s="2" t="s">
        <v>48</v>
      </c>
      <c r="K12" s="4">
        <v>46156</v>
      </c>
      <c r="L12" s="2" t="s">
        <v>46</v>
      </c>
      <c r="M12" s="2">
        <v>2</v>
      </c>
      <c r="N12" s="4">
        <v>46156</v>
      </c>
      <c r="O12" s="2" t="s">
        <v>649</v>
      </c>
    </row>
    <row r="13" spans="1:15" ht="14" customHeight="1">
      <c r="A13" s="2" t="s">
        <v>650</v>
      </c>
      <c r="B13" s="2" t="s">
        <v>518</v>
      </c>
      <c r="C13" s="2" t="s">
        <v>168</v>
      </c>
      <c r="D13" s="2" t="s">
        <v>169</v>
      </c>
      <c r="E13" s="2" t="s">
        <v>96</v>
      </c>
      <c r="F13" s="2" t="s">
        <v>53</v>
      </c>
      <c r="G13" s="4" t="s">
        <v>207</v>
      </c>
      <c r="H13" s="2" t="s">
        <v>217</v>
      </c>
      <c r="I13" s="2" t="s">
        <v>651</v>
      </c>
      <c r="J13" s="2" t="s">
        <v>67</v>
      </c>
      <c r="K13" s="4">
        <v>46152</v>
      </c>
      <c r="L13" s="2" t="s">
        <v>46</v>
      </c>
      <c r="M13" s="2">
        <v>3</v>
      </c>
      <c r="N13" s="4">
        <v>46156</v>
      </c>
      <c r="O13" s="2"/>
    </row>
    <row r="14" spans="1:15" ht="14" customHeight="1">
      <c r="A14" s="2" t="s">
        <v>652</v>
      </c>
      <c r="B14" s="2" t="s">
        <v>518</v>
      </c>
      <c r="C14" s="2" t="s">
        <v>1129</v>
      </c>
      <c r="D14" s="2" t="s">
        <v>218</v>
      </c>
      <c r="E14" s="2" t="s">
        <v>52</v>
      </c>
      <c r="F14" s="2" t="s">
        <v>53</v>
      </c>
      <c r="G14" s="4" t="s">
        <v>1130</v>
      </c>
      <c r="H14" s="2" t="s">
        <v>1131</v>
      </c>
      <c r="I14" s="2" t="s">
        <v>1132</v>
      </c>
      <c r="J14" s="2" t="s">
        <v>653</v>
      </c>
      <c r="K14" s="4">
        <v>46156</v>
      </c>
      <c r="L14" s="2" t="s">
        <v>46</v>
      </c>
      <c r="M14" s="2">
        <v>4</v>
      </c>
      <c r="N14" s="4">
        <v>46156</v>
      </c>
      <c r="O14" s="2"/>
    </row>
    <row r="15" spans="1:15">
      <c r="A15" s="2"/>
      <c r="B15" s="2"/>
      <c r="C15" s="2"/>
      <c r="D15" s="2"/>
      <c r="E15" s="2"/>
      <c r="F15" s="2"/>
      <c r="G15" s="4"/>
      <c r="H15" s="2"/>
      <c r="I15" s="2"/>
      <c r="J15" s="2"/>
      <c r="K15" s="4"/>
      <c r="L15" s="2"/>
      <c r="M15" s="2"/>
      <c r="N15" s="4"/>
      <c r="O15" s="2"/>
    </row>
    <row r="16" spans="1:15" ht="14" customHeight="1">
      <c r="A16" s="2" t="s">
        <v>654</v>
      </c>
      <c r="B16" s="2" t="s">
        <v>520</v>
      </c>
      <c r="C16" s="2" t="s">
        <v>655</v>
      </c>
      <c r="D16" s="2" t="s">
        <v>656</v>
      </c>
      <c r="E16" s="2" t="s">
        <v>80</v>
      </c>
      <c r="F16" s="2" t="s">
        <v>53</v>
      </c>
      <c r="G16" s="4">
        <v>46157</v>
      </c>
      <c r="H16" s="2" t="s">
        <v>657</v>
      </c>
      <c r="I16" s="2" t="s">
        <v>658</v>
      </c>
      <c r="J16" s="2" t="s">
        <v>48</v>
      </c>
      <c r="K16" s="4">
        <v>46156</v>
      </c>
      <c r="L16" s="2" t="s">
        <v>46</v>
      </c>
      <c r="M16" s="2">
        <v>1</v>
      </c>
      <c r="N16" s="4">
        <v>46156</v>
      </c>
      <c r="O16" s="2" t="s">
        <v>554</v>
      </c>
    </row>
    <row r="17" spans="1:15" ht="14" customHeight="1">
      <c r="A17" s="2" t="s">
        <v>659</v>
      </c>
      <c r="B17" s="2" t="s">
        <v>520</v>
      </c>
      <c r="C17" s="2" t="s">
        <v>1133</v>
      </c>
      <c r="D17" s="2" t="s">
        <v>660</v>
      </c>
      <c r="E17" s="2" t="s">
        <v>71</v>
      </c>
      <c r="F17" s="2" t="s">
        <v>53</v>
      </c>
      <c r="G17" s="4">
        <v>46157</v>
      </c>
      <c r="H17" s="2" t="s">
        <v>661</v>
      </c>
      <c r="I17" s="2" t="s">
        <v>662</v>
      </c>
      <c r="J17" s="2" t="s">
        <v>48</v>
      </c>
      <c r="K17" s="4">
        <v>46156</v>
      </c>
      <c r="L17" s="2" t="s">
        <v>46</v>
      </c>
      <c r="M17" s="2">
        <v>2</v>
      </c>
      <c r="N17" s="4">
        <v>46156</v>
      </c>
      <c r="O17" s="2"/>
    </row>
    <row r="18" spans="1:15" ht="14" customHeight="1">
      <c r="A18" s="2" t="s">
        <v>663</v>
      </c>
      <c r="B18" s="2" t="s">
        <v>520</v>
      </c>
      <c r="C18" s="2" t="s">
        <v>664</v>
      </c>
      <c r="D18" s="2" t="s">
        <v>196</v>
      </c>
      <c r="E18" s="2" t="s">
        <v>86</v>
      </c>
      <c r="F18" s="2" t="s">
        <v>53</v>
      </c>
      <c r="G18" s="4">
        <v>46157</v>
      </c>
      <c r="H18" s="2" t="s">
        <v>665</v>
      </c>
      <c r="I18" s="2" t="s">
        <v>666</v>
      </c>
      <c r="J18" s="2" t="s">
        <v>67</v>
      </c>
      <c r="K18" s="4">
        <v>46152</v>
      </c>
      <c r="L18" s="2" t="s">
        <v>46</v>
      </c>
      <c r="M18" s="2">
        <v>3</v>
      </c>
      <c r="N18" s="4">
        <v>46156</v>
      </c>
      <c r="O18" s="2"/>
    </row>
    <row r="19" spans="1:15" ht="14" customHeight="1">
      <c r="A19" s="2" t="s">
        <v>667</v>
      </c>
      <c r="B19" s="2" t="s">
        <v>520</v>
      </c>
      <c r="C19" s="2" t="s">
        <v>668</v>
      </c>
      <c r="D19" s="2" t="s">
        <v>169</v>
      </c>
      <c r="E19" s="2" t="s">
        <v>42</v>
      </c>
      <c r="F19" s="2" t="s">
        <v>43</v>
      </c>
      <c r="G19" s="4" t="s">
        <v>669</v>
      </c>
      <c r="H19" s="2" t="s">
        <v>670</v>
      </c>
      <c r="I19" s="2" t="s">
        <v>671</v>
      </c>
      <c r="J19" s="2" t="s">
        <v>653</v>
      </c>
      <c r="K19" s="4">
        <v>46156</v>
      </c>
      <c r="L19" s="2" t="s">
        <v>46</v>
      </c>
      <c r="M19" s="2">
        <v>4</v>
      </c>
      <c r="N19" s="4">
        <v>46156</v>
      </c>
      <c r="O19" s="2"/>
    </row>
    <row r="20" spans="1:15">
      <c r="A20" s="2"/>
      <c r="B20" s="2"/>
      <c r="C20" s="2"/>
      <c r="D20" s="2"/>
      <c r="E20" s="2"/>
      <c r="F20" s="2"/>
      <c r="G20" s="4"/>
      <c r="H20" s="2"/>
      <c r="I20" s="2"/>
      <c r="J20" s="2"/>
      <c r="K20" s="4"/>
      <c r="L20" s="2"/>
      <c r="M20" s="2"/>
      <c r="N20" s="4"/>
      <c r="O20" s="2"/>
    </row>
    <row r="21" spans="1:15" ht="14" customHeight="1">
      <c r="A21" s="2" t="s">
        <v>672</v>
      </c>
      <c r="B21" s="2" t="s">
        <v>522</v>
      </c>
      <c r="C21" s="2" t="s">
        <v>673</v>
      </c>
      <c r="D21" s="2" t="s">
        <v>674</v>
      </c>
      <c r="E21" s="2" t="s">
        <v>52</v>
      </c>
      <c r="F21" s="2" t="s">
        <v>53</v>
      </c>
      <c r="G21" s="4">
        <v>46162</v>
      </c>
      <c r="H21" s="2" t="s">
        <v>675</v>
      </c>
      <c r="I21" s="2" t="s">
        <v>676</v>
      </c>
      <c r="J21" s="2" t="s">
        <v>653</v>
      </c>
      <c r="K21" s="4">
        <v>46156</v>
      </c>
      <c r="L21" s="2" t="s">
        <v>46</v>
      </c>
      <c r="M21" s="2">
        <v>1</v>
      </c>
      <c r="N21" s="4">
        <v>46156</v>
      </c>
      <c r="O21" s="2" t="s">
        <v>579</v>
      </c>
    </row>
    <row r="22" spans="1:15" ht="14" customHeight="1">
      <c r="A22" s="2" t="s">
        <v>677</v>
      </c>
      <c r="B22" s="2" t="s">
        <v>522</v>
      </c>
      <c r="C22" s="2" t="s">
        <v>678</v>
      </c>
      <c r="D22" s="2" t="s">
        <v>679</v>
      </c>
      <c r="E22" s="2" t="s">
        <v>42</v>
      </c>
      <c r="F22" s="2" t="s">
        <v>53</v>
      </c>
      <c r="G22" s="4" t="s">
        <v>680</v>
      </c>
      <c r="H22" s="2" t="s">
        <v>675</v>
      </c>
      <c r="I22" s="2" t="s">
        <v>681</v>
      </c>
      <c r="J22" s="2" t="s">
        <v>653</v>
      </c>
      <c r="K22" s="4">
        <v>46156</v>
      </c>
      <c r="L22" s="2" t="s">
        <v>46</v>
      </c>
      <c r="M22" s="2">
        <v>2</v>
      </c>
      <c r="N22" s="4">
        <v>46156</v>
      </c>
      <c r="O22" s="2"/>
    </row>
    <row r="23" spans="1:15" ht="14" customHeight="1">
      <c r="A23" s="2" t="s">
        <v>682</v>
      </c>
      <c r="B23" s="2" t="s">
        <v>522</v>
      </c>
      <c r="C23" s="2" t="s">
        <v>683</v>
      </c>
      <c r="D23" s="2" t="s">
        <v>175</v>
      </c>
      <c r="E23" s="2" t="s">
        <v>80</v>
      </c>
      <c r="F23" s="2" t="s">
        <v>53</v>
      </c>
      <c r="G23" s="4" t="s">
        <v>684</v>
      </c>
      <c r="H23" s="2" t="s">
        <v>685</v>
      </c>
      <c r="I23" s="2" t="s">
        <v>686</v>
      </c>
      <c r="J23" s="2" t="s">
        <v>653</v>
      </c>
      <c r="K23" s="4">
        <v>46156</v>
      </c>
      <c r="L23" s="2" t="s">
        <v>46</v>
      </c>
      <c r="M23" s="2">
        <v>3</v>
      </c>
      <c r="N23" s="4">
        <v>46156</v>
      </c>
      <c r="O23" s="2"/>
    </row>
    <row r="24" spans="1:15" ht="14" customHeight="1">
      <c r="A24" s="2" t="s">
        <v>687</v>
      </c>
      <c r="B24" s="2" t="s">
        <v>522</v>
      </c>
      <c r="C24" s="2" t="s">
        <v>1134</v>
      </c>
      <c r="D24" s="2" t="s">
        <v>688</v>
      </c>
      <c r="E24" s="2" t="s">
        <v>42</v>
      </c>
      <c r="F24" s="2" t="s">
        <v>53</v>
      </c>
      <c r="G24" s="4" t="s">
        <v>689</v>
      </c>
      <c r="H24" s="2" t="s">
        <v>690</v>
      </c>
      <c r="I24" s="2" t="s">
        <v>691</v>
      </c>
      <c r="J24" s="2" t="s">
        <v>653</v>
      </c>
      <c r="K24" s="4">
        <v>46156</v>
      </c>
      <c r="L24" s="2" t="s">
        <v>46</v>
      </c>
      <c r="M24" s="2">
        <v>4</v>
      </c>
      <c r="N24" s="4">
        <v>46156</v>
      </c>
      <c r="O24" s="2"/>
    </row>
    <row r="25" spans="1:15">
      <c r="A25" s="2"/>
      <c r="B25" s="2"/>
      <c r="C25" s="2"/>
      <c r="D25" s="2"/>
      <c r="E25" s="2"/>
      <c r="F25" s="2"/>
      <c r="G25" s="4"/>
      <c r="H25" s="2"/>
      <c r="I25" s="2"/>
      <c r="J25" s="2"/>
      <c r="K25" s="4"/>
      <c r="L25" s="2"/>
      <c r="M25" s="2"/>
      <c r="N25" s="4"/>
      <c r="O25" s="2"/>
    </row>
    <row r="26" spans="1:15" ht="14" customHeight="1">
      <c r="A26" s="2" t="s">
        <v>692</v>
      </c>
      <c r="B26" s="2" t="s">
        <v>524</v>
      </c>
      <c r="C26" s="2" t="s">
        <v>693</v>
      </c>
      <c r="D26" s="2" t="s">
        <v>241</v>
      </c>
      <c r="E26" s="2" t="s">
        <v>62</v>
      </c>
      <c r="F26" s="2" t="s">
        <v>63</v>
      </c>
      <c r="G26" s="4">
        <v>46157</v>
      </c>
      <c r="H26" s="2" t="s">
        <v>694</v>
      </c>
      <c r="I26" s="2" t="s">
        <v>695</v>
      </c>
      <c r="J26" s="2" t="s">
        <v>653</v>
      </c>
      <c r="K26" s="4">
        <v>46156</v>
      </c>
      <c r="L26" s="2" t="s">
        <v>46</v>
      </c>
      <c r="M26" s="2">
        <v>1</v>
      </c>
      <c r="N26" s="4">
        <v>46156</v>
      </c>
      <c r="O26" s="2" t="s">
        <v>1135</v>
      </c>
    </row>
    <row r="27" spans="1:15" ht="14" customHeight="1">
      <c r="A27" s="2" t="s">
        <v>696</v>
      </c>
      <c r="B27" s="2" t="s">
        <v>524</v>
      </c>
      <c r="C27" s="2" t="s">
        <v>697</v>
      </c>
      <c r="D27" s="2" t="s">
        <v>331</v>
      </c>
      <c r="E27" s="2" t="s">
        <v>52</v>
      </c>
      <c r="F27" s="2" t="s">
        <v>53</v>
      </c>
      <c r="G27" s="4" t="s">
        <v>72</v>
      </c>
      <c r="H27" s="2" t="s">
        <v>698</v>
      </c>
      <c r="I27" s="2" t="s">
        <v>1136</v>
      </c>
      <c r="J27" s="2" t="s">
        <v>653</v>
      </c>
      <c r="K27" s="4">
        <v>46156</v>
      </c>
      <c r="L27" s="2" t="s">
        <v>46</v>
      </c>
      <c r="M27" s="2">
        <v>2</v>
      </c>
      <c r="N27" s="4">
        <v>46156</v>
      </c>
      <c r="O27" s="2"/>
    </row>
    <row r="28" spans="1:15" ht="14" customHeight="1">
      <c r="A28" s="2" t="s">
        <v>699</v>
      </c>
      <c r="B28" s="2" t="s">
        <v>524</v>
      </c>
      <c r="C28" s="2" t="s">
        <v>1137</v>
      </c>
      <c r="D28" s="2" t="s">
        <v>134</v>
      </c>
      <c r="E28" s="2" t="s">
        <v>52</v>
      </c>
      <c r="F28" s="2" t="s">
        <v>53</v>
      </c>
      <c r="G28" s="4" t="s">
        <v>72</v>
      </c>
      <c r="H28" s="2" t="s">
        <v>739</v>
      </c>
      <c r="I28" s="2" t="s">
        <v>1138</v>
      </c>
      <c r="J28" s="2" t="s">
        <v>653</v>
      </c>
      <c r="K28" s="4">
        <v>46156</v>
      </c>
      <c r="L28" s="2" t="s">
        <v>46</v>
      </c>
      <c r="M28" s="2">
        <v>3</v>
      </c>
      <c r="N28" s="4">
        <v>46156</v>
      </c>
      <c r="O28" s="2"/>
    </row>
    <row r="29" spans="1:15" ht="14" customHeight="1">
      <c r="A29" s="2" t="s">
        <v>700</v>
      </c>
      <c r="B29" s="2" t="s">
        <v>524</v>
      </c>
      <c r="C29" s="2" t="s">
        <v>1139</v>
      </c>
      <c r="D29" s="2" t="s">
        <v>331</v>
      </c>
      <c r="E29" s="2" t="s">
        <v>42</v>
      </c>
      <c r="F29" s="2" t="s">
        <v>43</v>
      </c>
      <c r="G29" s="4" t="s">
        <v>701</v>
      </c>
      <c r="H29" s="2" t="s">
        <v>702</v>
      </c>
      <c r="I29" s="2" t="s">
        <v>1140</v>
      </c>
      <c r="J29" s="2" t="s">
        <v>653</v>
      </c>
      <c r="K29" s="4">
        <v>46156</v>
      </c>
      <c r="L29" s="2" t="s">
        <v>46</v>
      </c>
      <c r="M29" s="2">
        <v>4</v>
      </c>
      <c r="N29" s="4">
        <v>46156</v>
      </c>
      <c r="O29" s="2"/>
    </row>
    <row r="30" spans="1:15">
      <c r="A30" s="2"/>
      <c r="B30" s="2"/>
      <c r="C30" s="2"/>
      <c r="D30" s="2"/>
      <c r="E30" s="2"/>
      <c r="F30" s="2"/>
      <c r="G30" s="4"/>
      <c r="H30" s="2"/>
      <c r="I30" s="2"/>
      <c r="J30" s="2"/>
      <c r="K30" s="4"/>
      <c r="L30" s="2"/>
      <c r="M30" s="2"/>
      <c r="N30" s="4"/>
      <c r="O30" s="2"/>
    </row>
    <row r="31" spans="1:15" ht="14" customHeight="1">
      <c r="A31" s="2" t="s">
        <v>703</v>
      </c>
      <c r="B31" s="2" t="s">
        <v>526</v>
      </c>
      <c r="C31" s="2" t="s">
        <v>704</v>
      </c>
      <c r="D31" s="2" t="s">
        <v>134</v>
      </c>
      <c r="E31" s="2" t="s">
        <v>62</v>
      </c>
      <c r="F31" s="2" t="s">
        <v>63</v>
      </c>
      <c r="G31" s="4">
        <v>46161</v>
      </c>
      <c r="H31" s="2" t="s">
        <v>705</v>
      </c>
      <c r="I31" s="2" t="s">
        <v>706</v>
      </c>
      <c r="J31" s="2" t="s">
        <v>653</v>
      </c>
      <c r="K31" s="4">
        <v>46156</v>
      </c>
      <c r="L31" s="2" t="s">
        <v>46</v>
      </c>
      <c r="M31" s="2">
        <v>1</v>
      </c>
      <c r="N31" s="4">
        <v>46156</v>
      </c>
      <c r="O31" s="2" t="s">
        <v>1141</v>
      </c>
    </row>
    <row r="32" spans="1:15" ht="14" customHeight="1">
      <c r="A32" s="2" t="s">
        <v>707</v>
      </c>
      <c r="B32" s="2" t="s">
        <v>526</v>
      </c>
      <c r="C32" s="2" t="s">
        <v>1142</v>
      </c>
      <c r="D32" s="2" t="s">
        <v>331</v>
      </c>
      <c r="E32" s="2" t="s">
        <v>42</v>
      </c>
      <c r="F32" s="2" t="s">
        <v>53</v>
      </c>
      <c r="G32" s="4" t="s">
        <v>72</v>
      </c>
      <c r="H32" s="2" t="s">
        <v>708</v>
      </c>
      <c r="I32" s="2" t="s">
        <v>709</v>
      </c>
      <c r="J32" s="2" t="s">
        <v>653</v>
      </c>
      <c r="K32" s="4">
        <v>46156</v>
      </c>
      <c r="L32" s="2" t="s">
        <v>46</v>
      </c>
      <c r="M32" s="2">
        <v>2</v>
      </c>
      <c r="N32" s="4">
        <v>46156</v>
      </c>
      <c r="O32" s="2"/>
    </row>
    <row r="33" spans="1:15" ht="14" customHeight="1">
      <c r="A33" s="2" t="s">
        <v>710</v>
      </c>
      <c r="B33" s="2" t="s">
        <v>526</v>
      </c>
      <c r="C33" s="2" t="s">
        <v>1143</v>
      </c>
      <c r="D33" s="2" t="s">
        <v>134</v>
      </c>
      <c r="E33" s="2" t="s">
        <v>42</v>
      </c>
      <c r="F33" s="2" t="s">
        <v>53</v>
      </c>
      <c r="G33" s="4" t="s">
        <v>72</v>
      </c>
      <c r="H33" s="2" t="s">
        <v>675</v>
      </c>
      <c r="I33" s="2" t="s">
        <v>1144</v>
      </c>
      <c r="J33" s="2" t="s">
        <v>653</v>
      </c>
      <c r="K33" s="4">
        <v>46156</v>
      </c>
      <c r="L33" s="2" t="s">
        <v>46</v>
      </c>
      <c r="M33" s="2">
        <v>3</v>
      </c>
      <c r="N33" s="4">
        <v>46156</v>
      </c>
      <c r="O33" s="2"/>
    </row>
    <row r="34" spans="1:15" ht="14" customHeight="1">
      <c r="A34" s="2" t="s">
        <v>711</v>
      </c>
      <c r="B34" s="2" t="s">
        <v>526</v>
      </c>
      <c r="C34" s="2" t="s">
        <v>1145</v>
      </c>
      <c r="D34" s="2" t="s">
        <v>674</v>
      </c>
      <c r="E34" s="2" t="s">
        <v>42</v>
      </c>
      <c r="F34" s="2" t="s">
        <v>43</v>
      </c>
      <c r="G34" s="4" t="s">
        <v>701</v>
      </c>
      <c r="H34" s="2" t="s">
        <v>712</v>
      </c>
      <c r="I34" s="2" t="s">
        <v>1146</v>
      </c>
      <c r="J34" s="2" t="s">
        <v>653</v>
      </c>
      <c r="K34" s="4">
        <v>46156</v>
      </c>
      <c r="L34" s="2" t="s">
        <v>46</v>
      </c>
      <c r="M34" s="2">
        <v>4</v>
      </c>
      <c r="N34" s="4">
        <v>46156</v>
      </c>
      <c r="O34" s="2"/>
    </row>
    <row r="35" spans="1:15">
      <c r="A35" s="2"/>
      <c r="B35" s="2"/>
      <c r="C35" s="2"/>
      <c r="D35" s="2"/>
      <c r="E35" s="2"/>
      <c r="F35" s="2"/>
      <c r="G35" s="4"/>
      <c r="H35" s="2"/>
      <c r="I35" s="2"/>
      <c r="J35" s="2"/>
      <c r="K35" s="4"/>
      <c r="L35" s="2"/>
      <c r="M35" s="2"/>
      <c r="N35" s="4"/>
      <c r="O35" s="2"/>
    </row>
    <row r="36" spans="1:15" ht="14" customHeight="1">
      <c r="A36" s="2" t="s">
        <v>713</v>
      </c>
      <c r="B36" s="2" t="s">
        <v>529</v>
      </c>
      <c r="C36" s="2" t="s">
        <v>714</v>
      </c>
      <c r="D36" s="2" t="s">
        <v>715</v>
      </c>
      <c r="E36" s="2" t="s">
        <v>62</v>
      </c>
      <c r="F36" s="2" t="s">
        <v>53</v>
      </c>
      <c r="G36" s="4">
        <v>46157</v>
      </c>
      <c r="H36" s="2" t="s">
        <v>716</v>
      </c>
      <c r="I36" s="2" t="s">
        <v>717</v>
      </c>
      <c r="J36" s="2" t="s">
        <v>48</v>
      </c>
      <c r="K36" s="4">
        <v>46156</v>
      </c>
      <c r="L36" s="2" t="s">
        <v>46</v>
      </c>
      <c r="M36" s="2">
        <v>1</v>
      </c>
      <c r="N36" s="4">
        <v>46156</v>
      </c>
      <c r="O36" s="2" t="s">
        <v>603</v>
      </c>
    </row>
    <row r="37" spans="1:15" ht="14" customHeight="1">
      <c r="A37" s="2" t="s">
        <v>718</v>
      </c>
      <c r="B37" s="2" t="s">
        <v>529</v>
      </c>
      <c r="C37" s="2" t="s">
        <v>719</v>
      </c>
      <c r="D37" s="2" t="s">
        <v>720</v>
      </c>
      <c r="E37" s="2" t="s">
        <v>86</v>
      </c>
      <c r="F37" s="2" t="s">
        <v>53</v>
      </c>
      <c r="G37" s="4">
        <v>46157</v>
      </c>
      <c r="H37" s="2" t="s">
        <v>721</v>
      </c>
      <c r="I37" s="2" t="s">
        <v>722</v>
      </c>
      <c r="J37" s="2" t="s">
        <v>48</v>
      </c>
      <c r="K37" s="4">
        <v>46156</v>
      </c>
      <c r="L37" s="2" t="s">
        <v>46</v>
      </c>
      <c r="M37" s="2">
        <v>2</v>
      </c>
      <c r="N37" s="4">
        <v>46156</v>
      </c>
      <c r="O37" s="2" t="s">
        <v>723</v>
      </c>
    </row>
    <row r="38" spans="1:15" ht="14" customHeight="1">
      <c r="A38" s="2" t="s">
        <v>724</v>
      </c>
      <c r="B38" s="2" t="s">
        <v>529</v>
      </c>
      <c r="C38" s="2" t="s">
        <v>725</v>
      </c>
      <c r="D38" s="2" t="s">
        <v>726</v>
      </c>
      <c r="E38" s="2" t="s">
        <v>80</v>
      </c>
      <c r="F38" s="2" t="s">
        <v>53</v>
      </c>
      <c r="G38" s="4" t="s">
        <v>72</v>
      </c>
      <c r="H38" s="2" t="s">
        <v>727</v>
      </c>
      <c r="I38" s="2" t="s">
        <v>728</v>
      </c>
      <c r="J38" s="2" t="s">
        <v>48</v>
      </c>
      <c r="K38" s="4">
        <v>46156</v>
      </c>
      <c r="L38" s="2" t="s">
        <v>46</v>
      </c>
      <c r="M38" s="2">
        <v>3</v>
      </c>
      <c r="N38" s="4">
        <v>46156</v>
      </c>
      <c r="O38" s="2"/>
    </row>
    <row r="39" spans="1:15" ht="14" customHeight="1">
      <c r="A39" s="2" t="s">
        <v>729</v>
      </c>
      <c r="B39" s="2" t="s">
        <v>529</v>
      </c>
      <c r="C39" s="2" t="s">
        <v>730</v>
      </c>
      <c r="D39" s="2" t="s">
        <v>629</v>
      </c>
      <c r="E39" s="2" t="s">
        <v>62</v>
      </c>
      <c r="F39" s="2" t="s">
        <v>53</v>
      </c>
      <c r="G39" s="4" t="s">
        <v>72</v>
      </c>
      <c r="H39" s="2" t="s">
        <v>731</v>
      </c>
      <c r="I39" s="2" t="s">
        <v>732</v>
      </c>
      <c r="J39" s="2" t="s">
        <v>48</v>
      </c>
      <c r="K39" s="4">
        <v>46156</v>
      </c>
      <c r="L39" s="2" t="s">
        <v>46</v>
      </c>
      <c r="M39" s="2">
        <v>4</v>
      </c>
      <c r="N39" s="4">
        <v>46156</v>
      </c>
      <c r="O39" s="2"/>
    </row>
    <row r="40" spans="1:15">
      <c r="A40" s="2"/>
      <c r="B40" s="2"/>
      <c r="C40" s="2"/>
      <c r="D40" s="2"/>
      <c r="E40" s="2"/>
      <c r="F40" s="2"/>
      <c r="G40" s="4"/>
      <c r="H40" s="2"/>
      <c r="I40" s="2"/>
      <c r="J40" s="2"/>
      <c r="K40" s="4"/>
      <c r="L40" s="2"/>
      <c r="M40" s="2"/>
      <c r="N40" s="4"/>
      <c r="O40" s="2"/>
    </row>
    <row r="41" spans="1:15" ht="14" customHeight="1">
      <c r="A41" s="2" t="s">
        <v>733</v>
      </c>
      <c r="B41" s="2" t="s">
        <v>530</v>
      </c>
      <c r="C41" s="2" t="s">
        <v>734</v>
      </c>
      <c r="D41" s="2" t="s">
        <v>715</v>
      </c>
      <c r="E41" s="2" t="s">
        <v>62</v>
      </c>
      <c r="F41" s="2" t="s">
        <v>63</v>
      </c>
      <c r="G41" s="4">
        <v>46157</v>
      </c>
      <c r="H41" s="2" t="s">
        <v>735</v>
      </c>
      <c r="I41" s="2" t="s">
        <v>736</v>
      </c>
      <c r="J41" s="2" t="s">
        <v>48</v>
      </c>
      <c r="K41" s="4">
        <v>46156</v>
      </c>
      <c r="L41" s="2" t="s">
        <v>46</v>
      </c>
      <c r="M41" s="2">
        <v>1</v>
      </c>
      <c r="N41" s="4">
        <v>46156</v>
      </c>
      <c r="O41" s="2" t="s">
        <v>609</v>
      </c>
    </row>
    <row r="42" spans="1:15" ht="14" customHeight="1">
      <c r="A42" s="2" t="s">
        <v>737</v>
      </c>
      <c r="B42" s="2" t="s">
        <v>530</v>
      </c>
      <c r="C42" s="2" t="s">
        <v>738</v>
      </c>
      <c r="D42" s="2" t="s">
        <v>715</v>
      </c>
      <c r="E42" s="2" t="s">
        <v>62</v>
      </c>
      <c r="F42" s="2" t="s">
        <v>63</v>
      </c>
      <c r="G42" s="4">
        <v>46157</v>
      </c>
      <c r="H42" s="2" t="s">
        <v>739</v>
      </c>
      <c r="I42" s="2" t="s">
        <v>740</v>
      </c>
      <c r="J42" s="2" t="s">
        <v>48</v>
      </c>
      <c r="K42" s="4">
        <v>46156</v>
      </c>
      <c r="L42" s="2" t="s">
        <v>46</v>
      </c>
      <c r="M42" s="2">
        <v>2</v>
      </c>
      <c r="N42" s="4">
        <v>46156</v>
      </c>
      <c r="O42" s="2"/>
    </row>
    <row r="43" spans="1:15" ht="14" customHeight="1">
      <c r="A43" s="2" t="s">
        <v>741</v>
      </c>
      <c r="B43" s="2" t="s">
        <v>530</v>
      </c>
      <c r="C43" s="2" t="s">
        <v>742</v>
      </c>
      <c r="D43" s="2" t="s">
        <v>743</v>
      </c>
      <c r="E43" s="2" t="s">
        <v>42</v>
      </c>
      <c r="F43" s="2" t="s">
        <v>53</v>
      </c>
      <c r="G43" s="4" t="s">
        <v>744</v>
      </c>
      <c r="H43" s="2" t="s">
        <v>721</v>
      </c>
      <c r="I43" s="2" t="s">
        <v>745</v>
      </c>
      <c r="J43" s="2" t="s">
        <v>48</v>
      </c>
      <c r="K43" s="4">
        <v>46156</v>
      </c>
      <c r="L43" s="2" t="s">
        <v>46</v>
      </c>
      <c r="M43" s="2">
        <v>3</v>
      </c>
      <c r="N43" s="4">
        <v>46156</v>
      </c>
      <c r="O43" s="2"/>
    </row>
    <row r="44" spans="1:15" ht="14" customHeight="1">
      <c r="A44" s="2" t="s">
        <v>746</v>
      </c>
      <c r="B44" s="2" t="s">
        <v>530</v>
      </c>
      <c r="C44" s="2" t="s">
        <v>1147</v>
      </c>
      <c r="D44" s="2" t="s">
        <v>743</v>
      </c>
      <c r="E44" s="2" t="s">
        <v>52</v>
      </c>
      <c r="F44" s="2" t="s">
        <v>53</v>
      </c>
      <c r="G44" s="4" t="s">
        <v>72</v>
      </c>
      <c r="H44" s="2" t="s">
        <v>747</v>
      </c>
      <c r="I44" s="2" t="s">
        <v>1148</v>
      </c>
      <c r="J44" s="2" t="s">
        <v>48</v>
      </c>
      <c r="K44" s="4">
        <v>46156</v>
      </c>
      <c r="L44" s="2" t="s">
        <v>46</v>
      </c>
      <c r="M44" s="2">
        <v>4</v>
      </c>
      <c r="N44" s="4">
        <v>46156</v>
      </c>
      <c r="O44" s="2"/>
    </row>
    <row r="45" spans="1:15">
      <c r="A45" s="2"/>
      <c r="B45" s="2"/>
      <c r="C45" s="2"/>
      <c r="D45" s="2"/>
      <c r="E45" s="2"/>
      <c r="F45" s="2"/>
      <c r="G45" s="4"/>
      <c r="H45" s="2"/>
      <c r="I45" s="2"/>
      <c r="J45" s="2"/>
      <c r="K45" s="4"/>
      <c r="L45" s="2"/>
      <c r="M45" s="2"/>
      <c r="N45" s="4"/>
      <c r="O45" s="2"/>
    </row>
    <row r="46" spans="1:15" ht="14" customHeight="1">
      <c r="A46" s="2" t="s">
        <v>748</v>
      </c>
      <c r="B46" s="2" t="s">
        <v>534</v>
      </c>
      <c r="C46" s="2" t="s">
        <v>749</v>
      </c>
      <c r="D46" s="2" t="s">
        <v>169</v>
      </c>
      <c r="E46" s="2" t="s">
        <v>316</v>
      </c>
      <c r="F46" s="2" t="s">
        <v>63</v>
      </c>
      <c r="G46" s="4"/>
      <c r="H46" s="2" t="s">
        <v>739</v>
      </c>
      <c r="I46" s="2" t="s">
        <v>750</v>
      </c>
      <c r="J46" s="2" t="s">
        <v>48</v>
      </c>
      <c r="K46" s="4">
        <v>46155</v>
      </c>
      <c r="L46" s="2" t="s">
        <v>56</v>
      </c>
      <c r="M46" s="2">
        <v>1</v>
      </c>
      <c r="N46" s="4">
        <v>46156</v>
      </c>
      <c r="O46" s="2" t="s">
        <v>616</v>
      </c>
    </row>
    <row r="47" spans="1:15" ht="14" customHeight="1">
      <c r="A47" s="2" t="s">
        <v>751</v>
      </c>
      <c r="B47" s="2" t="s">
        <v>534</v>
      </c>
      <c r="C47" s="2" t="s">
        <v>752</v>
      </c>
      <c r="D47" s="2" t="s">
        <v>169</v>
      </c>
      <c r="E47" s="2" t="s">
        <v>42</v>
      </c>
      <c r="F47" s="2" t="s">
        <v>43</v>
      </c>
      <c r="G47" s="4" t="s">
        <v>753</v>
      </c>
      <c r="H47" s="2" t="s">
        <v>754</v>
      </c>
      <c r="I47" s="2" t="s">
        <v>755</v>
      </c>
      <c r="J47" s="2" t="s">
        <v>48</v>
      </c>
      <c r="K47" s="4">
        <v>46155</v>
      </c>
      <c r="L47" s="2" t="s">
        <v>56</v>
      </c>
      <c r="M47" s="2">
        <v>2</v>
      </c>
      <c r="N47" s="4">
        <v>46156</v>
      </c>
      <c r="O47" s="2"/>
    </row>
    <row r="48" spans="1:15">
      <c r="A48" s="2"/>
      <c r="B48" s="2"/>
      <c r="C48" s="2"/>
      <c r="D48" s="2"/>
      <c r="E48" s="2"/>
      <c r="F48" s="2"/>
      <c r="G48" s="4"/>
      <c r="H48" s="2"/>
      <c r="I48" s="2"/>
      <c r="J48" s="2"/>
      <c r="K48" s="4"/>
      <c r="L48" s="2"/>
      <c r="M48" s="2"/>
      <c r="N48" s="4"/>
      <c r="O48" s="2"/>
    </row>
    <row r="49" spans="1:15" ht="14" customHeight="1">
      <c r="A49" s="2" t="s">
        <v>771</v>
      </c>
      <c r="B49" s="2" t="s">
        <v>535</v>
      </c>
      <c r="C49" s="2" t="s">
        <v>1149</v>
      </c>
      <c r="D49" s="2" t="s">
        <v>629</v>
      </c>
      <c r="E49" s="2" t="s">
        <v>102</v>
      </c>
      <c r="F49" s="2" t="s">
        <v>53</v>
      </c>
      <c r="G49" s="4" t="s">
        <v>772</v>
      </c>
      <c r="H49" s="2" t="s">
        <v>773</v>
      </c>
      <c r="I49" s="2" t="s">
        <v>774</v>
      </c>
      <c r="J49" s="2" t="s">
        <v>653</v>
      </c>
      <c r="K49" s="4">
        <v>46156</v>
      </c>
      <c r="L49" s="2" t="s">
        <v>46</v>
      </c>
      <c r="M49" s="2">
        <v>1</v>
      </c>
      <c r="N49" s="4">
        <v>46156</v>
      </c>
      <c r="O49" s="2" t="s">
        <v>775</v>
      </c>
    </row>
    <row r="50" spans="1:15" ht="14" customHeight="1">
      <c r="A50" s="2"/>
      <c r="B50" s="2"/>
      <c r="C50" s="2"/>
      <c r="D50" s="2"/>
      <c r="E50" s="2"/>
      <c r="F50" s="2"/>
      <c r="G50" s="4"/>
      <c r="H50" s="2"/>
      <c r="I50" s="2"/>
      <c r="J50" s="2"/>
      <c r="K50" s="4"/>
      <c r="L50" s="2"/>
      <c r="M50" s="2"/>
      <c r="N50" s="4"/>
      <c r="O50" s="2"/>
    </row>
    <row r="51" spans="1:15" ht="14" customHeight="1">
      <c r="A51" s="2" t="s">
        <v>756</v>
      </c>
      <c r="B51" s="2"/>
      <c r="C51" s="2" t="s">
        <v>757</v>
      </c>
      <c r="D51" s="2" t="s">
        <v>169</v>
      </c>
      <c r="E51" s="2" t="s">
        <v>86</v>
      </c>
      <c r="F51" s="2" t="s">
        <v>53</v>
      </c>
      <c r="G51" s="4">
        <v>46157</v>
      </c>
      <c r="H51" s="2" t="s">
        <v>758</v>
      </c>
      <c r="I51" s="2" t="s">
        <v>759</v>
      </c>
      <c r="J51" s="2" t="s">
        <v>48</v>
      </c>
      <c r="K51" s="4">
        <v>46156</v>
      </c>
      <c r="L51" s="2" t="s">
        <v>46</v>
      </c>
      <c r="M51" s="2">
        <v>99</v>
      </c>
      <c r="N51" s="4">
        <v>46156</v>
      </c>
      <c r="O51" s="2" t="s">
        <v>760</v>
      </c>
    </row>
    <row r="52" spans="1:15" ht="14" customHeight="1">
      <c r="A52" s="2" t="s">
        <v>761</v>
      </c>
      <c r="B52" s="2"/>
      <c r="C52" s="2" t="s">
        <v>762</v>
      </c>
      <c r="D52" s="2" t="s">
        <v>624</v>
      </c>
      <c r="E52" s="2" t="s">
        <v>102</v>
      </c>
      <c r="F52" s="2" t="s">
        <v>43</v>
      </c>
      <c r="G52" s="4">
        <v>46157</v>
      </c>
      <c r="H52" s="2" t="s">
        <v>763</v>
      </c>
      <c r="I52" s="2" t="s">
        <v>764</v>
      </c>
      <c r="J52" s="2" t="s">
        <v>48</v>
      </c>
      <c r="K52" s="4">
        <v>46156</v>
      </c>
      <c r="L52" s="2" t="s">
        <v>46</v>
      </c>
      <c r="M52" s="2">
        <v>100</v>
      </c>
      <c r="N52" s="4">
        <v>46156</v>
      </c>
      <c r="O52" s="2" t="s">
        <v>760</v>
      </c>
    </row>
    <row r="53" spans="1:15" ht="14" customHeight="1">
      <c r="A53" s="2" t="s">
        <v>765</v>
      </c>
      <c r="B53" s="2"/>
      <c r="C53" s="2" t="s">
        <v>766</v>
      </c>
      <c r="D53" s="2" t="s">
        <v>767</v>
      </c>
      <c r="E53" s="2" t="s">
        <v>86</v>
      </c>
      <c r="F53" s="2" t="s">
        <v>53</v>
      </c>
      <c r="G53" s="4">
        <v>46155</v>
      </c>
      <c r="H53" s="2" t="s">
        <v>768</v>
      </c>
      <c r="I53" s="2" t="s">
        <v>769</v>
      </c>
      <c r="J53" s="2" t="s">
        <v>67</v>
      </c>
      <c r="K53" s="4">
        <v>46152</v>
      </c>
      <c r="L53" s="2" t="s">
        <v>46</v>
      </c>
      <c r="M53" s="2">
        <v>101</v>
      </c>
      <c r="N53" s="4">
        <v>46156</v>
      </c>
      <c r="O53" s="2" t="s">
        <v>770</v>
      </c>
    </row>
    <row r="54" spans="1:15">
      <c r="G54" s="5"/>
      <c r="K54" s="5"/>
      <c r="N54" s="5"/>
    </row>
    <row r="55" spans="1:15">
      <c r="G55" s="5"/>
      <c r="K55" s="5"/>
      <c r="N55" s="5"/>
    </row>
    <row r="56" spans="1:15">
      <c r="G56" s="5"/>
      <c r="K56" s="5"/>
      <c r="N56" s="5"/>
    </row>
    <row r="57" spans="1:15">
      <c r="G57" s="5"/>
      <c r="K57" s="5"/>
      <c r="N57" s="5"/>
    </row>
    <row r="58" spans="1:15">
      <c r="G58" s="5"/>
      <c r="K58" s="5"/>
      <c r="N58" s="5"/>
    </row>
    <row r="59" spans="1:15">
      <c r="G59" s="5"/>
      <c r="K59" s="5"/>
      <c r="N59" s="5"/>
    </row>
    <row r="60" spans="1:15">
      <c r="G60" s="5"/>
      <c r="K60" s="5"/>
      <c r="N60" s="5"/>
    </row>
    <row r="61" spans="1:15">
      <c r="G61" s="5"/>
      <c r="K61" s="5"/>
      <c r="N61" s="5"/>
    </row>
    <row r="62" spans="1:15">
      <c r="G62" s="5"/>
      <c r="K62" s="5"/>
      <c r="N62" s="5"/>
    </row>
    <row r="63" spans="1:15">
      <c r="G63" s="5"/>
      <c r="K63" s="5"/>
      <c r="N63" s="5"/>
    </row>
    <row r="64" spans="1:15">
      <c r="G64" s="5"/>
      <c r="K64" s="5"/>
      <c r="N64" s="5"/>
    </row>
    <row r="65" spans="7:14">
      <c r="G65" s="5"/>
      <c r="K65" s="5"/>
      <c r="N65" s="5"/>
    </row>
    <row r="66" spans="7:14">
      <c r="G66" s="5"/>
      <c r="K66" s="5"/>
      <c r="N66" s="5"/>
    </row>
    <row r="67" spans="7:14">
      <c r="G67" s="5"/>
      <c r="K67" s="5"/>
      <c r="N67" s="5"/>
    </row>
    <row r="68" spans="7:14">
      <c r="G68" s="5"/>
      <c r="K68" s="5"/>
      <c r="N68" s="5"/>
    </row>
    <row r="69" spans="7:14">
      <c r="G69" s="5"/>
      <c r="K69" s="5"/>
      <c r="N69" s="5"/>
    </row>
    <row r="70" spans="7:14">
      <c r="G70" s="5"/>
      <c r="K70" s="5"/>
      <c r="N70" s="5"/>
    </row>
    <row r="71" spans="7:14">
      <c r="G71" s="5"/>
      <c r="K71" s="5"/>
      <c r="N71" s="5"/>
    </row>
    <row r="72" spans="7:14">
      <c r="G72" s="5"/>
      <c r="K72" s="5"/>
      <c r="N72" s="5"/>
    </row>
    <row r="73" spans="7:14">
      <c r="G73" s="5"/>
      <c r="K73" s="5"/>
      <c r="N73" s="5"/>
    </row>
    <row r="74" spans="7:14">
      <c r="G74" s="5"/>
      <c r="K74" s="5"/>
      <c r="N74" s="5"/>
    </row>
    <row r="75" spans="7:14">
      <c r="G75" s="5"/>
      <c r="K75" s="5"/>
      <c r="N75" s="5"/>
    </row>
    <row r="76" spans="7:14">
      <c r="G76" s="5"/>
      <c r="K76" s="5"/>
      <c r="N76" s="5"/>
    </row>
    <row r="77" spans="7:14">
      <c r="G77" s="5"/>
      <c r="K77" s="5"/>
      <c r="N77" s="5"/>
    </row>
    <row r="78" spans="7:14">
      <c r="G78" s="5"/>
      <c r="K78" s="5"/>
      <c r="N78" s="5"/>
    </row>
    <row r="79" spans="7:14">
      <c r="G79" s="5"/>
      <c r="K79" s="5"/>
      <c r="N79" s="5"/>
    </row>
    <row r="80" spans="7:14">
      <c r="G80" s="5"/>
      <c r="K80" s="5"/>
      <c r="N80" s="5"/>
    </row>
    <row r="81" spans="7:14">
      <c r="G81" s="5"/>
      <c r="K81" s="5"/>
      <c r="N81" s="5"/>
    </row>
    <row r="82" spans="7:14">
      <c r="G82" s="5"/>
      <c r="K82" s="5"/>
      <c r="N82" s="5"/>
    </row>
    <row r="83" spans="7:14">
      <c r="G83" s="5"/>
      <c r="K83" s="5"/>
      <c r="N83" s="5"/>
    </row>
    <row r="84" spans="7:14">
      <c r="G84" s="5"/>
      <c r="K84" s="5"/>
      <c r="N84" s="5"/>
    </row>
    <row r="85" spans="7:14">
      <c r="G85" s="5"/>
      <c r="K85" s="5"/>
      <c r="N85" s="5"/>
    </row>
    <row r="86" spans="7:14">
      <c r="G86" s="5"/>
      <c r="K86" s="5"/>
      <c r="N86" s="5"/>
    </row>
    <row r="87" spans="7:14">
      <c r="G87" s="5"/>
      <c r="K87" s="5"/>
      <c r="N87" s="5"/>
    </row>
    <row r="88" spans="7:14">
      <c r="G88" s="5"/>
      <c r="K88" s="5"/>
      <c r="N88" s="5"/>
    </row>
    <row r="89" spans="7:14">
      <c r="G89" s="5"/>
      <c r="K89" s="5"/>
      <c r="N89" s="5"/>
    </row>
    <row r="90" spans="7:14">
      <c r="G90" s="5"/>
      <c r="K90" s="5"/>
      <c r="N90" s="5"/>
    </row>
    <row r="91" spans="7:14">
      <c r="G91" s="5"/>
      <c r="K91" s="5"/>
      <c r="N91" s="5"/>
    </row>
    <row r="92" spans="7:14">
      <c r="G92" s="5"/>
      <c r="K92" s="5"/>
      <c r="N92" s="5"/>
    </row>
    <row r="93" spans="7:14">
      <c r="G93" s="5"/>
      <c r="K93" s="5"/>
      <c r="N93" s="5"/>
    </row>
    <row r="94" spans="7:14">
      <c r="G94" s="5"/>
      <c r="K94" s="5"/>
      <c r="N94" s="5"/>
    </row>
    <row r="95" spans="7:14">
      <c r="G95" s="5"/>
      <c r="K95" s="5"/>
      <c r="N95" s="5"/>
    </row>
    <row r="96" spans="7:14">
      <c r="G96" s="5"/>
      <c r="K96" s="5"/>
      <c r="N96" s="5"/>
    </row>
    <row r="97" spans="7:14">
      <c r="G97" s="5"/>
      <c r="K97" s="5"/>
      <c r="N97" s="5"/>
    </row>
    <row r="98" spans="7:14">
      <c r="G98" s="5"/>
      <c r="K98" s="5"/>
      <c r="N98" s="5"/>
    </row>
    <row r="99" spans="7:14">
      <c r="G99" s="5"/>
      <c r="K99" s="5"/>
      <c r="N99" s="5"/>
    </row>
    <row r="100" spans="7:14">
      <c r="G100" s="5"/>
      <c r="K100" s="5"/>
      <c r="N100" s="5"/>
    </row>
    <row r="101" spans="7:14">
      <c r="G101" s="5"/>
      <c r="K101" s="5"/>
      <c r="N101" s="5"/>
    </row>
    <row r="102" spans="7:14">
      <c r="G102" s="5"/>
      <c r="K102" s="5"/>
      <c r="N102" s="5"/>
    </row>
    <row r="103" spans="7:14">
      <c r="G103" s="5"/>
      <c r="K103" s="5"/>
      <c r="N103" s="5"/>
    </row>
    <row r="104" spans="7:14">
      <c r="G104" s="5"/>
      <c r="K104" s="5"/>
      <c r="N104" s="5"/>
    </row>
    <row r="105" spans="7:14">
      <c r="G105" s="5"/>
      <c r="K105" s="5"/>
      <c r="N105" s="5"/>
    </row>
    <row r="106" spans="7:14">
      <c r="G106" s="5"/>
      <c r="K106" s="5"/>
      <c r="N106" s="5"/>
    </row>
    <row r="107" spans="7:14">
      <c r="G107" s="5"/>
      <c r="K107" s="5"/>
      <c r="N107" s="5"/>
    </row>
    <row r="108" spans="7:14">
      <c r="G108" s="5"/>
      <c r="K108" s="5"/>
      <c r="N108" s="5"/>
    </row>
    <row r="109" spans="7:14">
      <c r="G109" s="5"/>
      <c r="K109" s="5"/>
      <c r="N109" s="5"/>
    </row>
    <row r="110" spans="7:14">
      <c r="G110" s="5"/>
      <c r="K110" s="5"/>
      <c r="N110" s="5"/>
    </row>
    <row r="111" spans="7:14">
      <c r="G111" s="5"/>
      <c r="K111" s="5"/>
      <c r="N111" s="5"/>
    </row>
    <row r="112" spans="7:14">
      <c r="G112" s="5"/>
      <c r="K112" s="5"/>
      <c r="N112" s="5"/>
    </row>
    <row r="113" spans="7:14">
      <c r="G113" s="5"/>
      <c r="K113" s="5"/>
      <c r="N113" s="5"/>
    </row>
    <row r="114" spans="7:14">
      <c r="G114" s="5"/>
      <c r="K114" s="5"/>
      <c r="N114" s="5"/>
    </row>
    <row r="115" spans="7:14">
      <c r="G115" s="5"/>
      <c r="K115" s="5"/>
      <c r="N115" s="5"/>
    </row>
    <row r="116" spans="7:14">
      <c r="G116" s="5"/>
      <c r="K116" s="5"/>
      <c r="N116" s="5"/>
    </row>
    <row r="117" spans="7:14">
      <c r="G117" s="5"/>
      <c r="K117" s="5"/>
      <c r="N117" s="5"/>
    </row>
    <row r="118" spans="7:14">
      <c r="G118" s="5"/>
      <c r="K118" s="5"/>
      <c r="N118" s="5"/>
    </row>
    <row r="119" spans="7:14">
      <c r="G119" s="5"/>
      <c r="K119" s="5"/>
      <c r="N119" s="5"/>
    </row>
    <row r="120" spans="7:14">
      <c r="G120" s="5"/>
      <c r="K120" s="5"/>
      <c r="N120" s="5"/>
    </row>
    <row r="121" spans="7:14">
      <c r="G121" s="5"/>
      <c r="K121" s="5"/>
      <c r="N121" s="5"/>
    </row>
    <row r="122" spans="7:14">
      <c r="G122" s="5"/>
      <c r="K122" s="5"/>
      <c r="N122" s="5"/>
    </row>
    <row r="123" spans="7:14">
      <c r="G123" s="5"/>
      <c r="K123" s="5"/>
      <c r="N123" s="5"/>
    </row>
    <row r="124" spans="7:14">
      <c r="G124" s="5"/>
      <c r="K124" s="5"/>
      <c r="N124" s="5"/>
    </row>
    <row r="125" spans="7:14">
      <c r="G125" s="5"/>
      <c r="K125" s="5"/>
      <c r="N125" s="5"/>
    </row>
    <row r="126" spans="7:14">
      <c r="G126" s="5"/>
      <c r="K126" s="5"/>
      <c r="N126" s="5"/>
    </row>
    <row r="127" spans="7:14">
      <c r="G127" s="5"/>
      <c r="K127" s="5"/>
      <c r="N127" s="5"/>
    </row>
    <row r="128" spans="7:14">
      <c r="G128" s="5"/>
      <c r="K128" s="5"/>
      <c r="N128" s="5"/>
    </row>
    <row r="129" spans="7:14">
      <c r="G129" s="5"/>
      <c r="K129" s="5"/>
      <c r="N129" s="5"/>
    </row>
    <row r="130" spans="7:14">
      <c r="G130" s="5"/>
      <c r="K130" s="5"/>
      <c r="N130" s="5"/>
    </row>
    <row r="131" spans="7:14">
      <c r="G131" s="5"/>
      <c r="K131" s="5"/>
      <c r="N131" s="5"/>
    </row>
    <row r="132" spans="7:14">
      <c r="G132" s="5"/>
      <c r="K132" s="5"/>
      <c r="N132" s="5"/>
    </row>
    <row r="133" spans="7:14">
      <c r="G133" s="5"/>
      <c r="K133" s="5"/>
      <c r="N133" s="5"/>
    </row>
    <row r="134" spans="7:14">
      <c r="G134" s="5"/>
      <c r="K134" s="5"/>
      <c r="N134" s="5"/>
    </row>
    <row r="135" spans="7:14">
      <c r="G135" s="5"/>
      <c r="K135" s="5"/>
      <c r="N135" s="5"/>
    </row>
    <row r="136" spans="7:14">
      <c r="G136" s="5"/>
      <c r="K136" s="5"/>
      <c r="N136" s="5"/>
    </row>
    <row r="137" spans="7:14">
      <c r="G137" s="5"/>
      <c r="K137" s="5"/>
      <c r="N137" s="5"/>
    </row>
    <row r="138" spans="7:14">
      <c r="G138" s="5"/>
      <c r="K138" s="5"/>
      <c r="N138" s="5"/>
    </row>
    <row r="139" spans="7:14">
      <c r="G139" s="5"/>
      <c r="K139" s="5"/>
      <c r="N139" s="5"/>
    </row>
    <row r="140" spans="7:14">
      <c r="G140" s="5"/>
      <c r="K140" s="5"/>
      <c r="N140" s="5"/>
    </row>
    <row r="141" spans="7:14">
      <c r="G141" s="5"/>
      <c r="K141" s="5"/>
      <c r="N141" s="5"/>
    </row>
    <row r="142" spans="7:14">
      <c r="G142" s="5"/>
      <c r="K142" s="5"/>
      <c r="N142" s="5"/>
    </row>
    <row r="143" spans="7:14">
      <c r="G143" s="5"/>
      <c r="K143" s="5"/>
      <c r="N143" s="5"/>
    </row>
    <row r="144" spans="7:14">
      <c r="G144" s="5"/>
      <c r="K144" s="5"/>
      <c r="N144" s="5"/>
    </row>
    <row r="145" spans="7:14">
      <c r="G145" s="5"/>
      <c r="K145" s="5"/>
      <c r="N145" s="5"/>
    </row>
    <row r="146" spans="7:14">
      <c r="G146" s="5"/>
      <c r="K146" s="5"/>
      <c r="N146" s="5"/>
    </row>
    <row r="147" spans="7:14">
      <c r="G147" s="5"/>
      <c r="K147" s="5"/>
      <c r="N147" s="5"/>
    </row>
    <row r="148" spans="7:14">
      <c r="G148" s="5"/>
      <c r="K148" s="5"/>
      <c r="N148" s="5"/>
    </row>
    <row r="149" spans="7:14">
      <c r="G149" s="5"/>
      <c r="K149" s="5"/>
      <c r="N149" s="5"/>
    </row>
    <row r="150" spans="7:14">
      <c r="G150" s="5"/>
      <c r="K150" s="5"/>
      <c r="N150" s="5"/>
    </row>
    <row r="151" spans="7:14">
      <c r="G151" s="5"/>
      <c r="K151" s="5"/>
      <c r="N151" s="5"/>
    </row>
    <row r="152" spans="7:14">
      <c r="G152" s="5"/>
      <c r="K152" s="5"/>
      <c r="N152" s="5"/>
    </row>
    <row r="153" spans="7:14">
      <c r="G153" s="5"/>
      <c r="K153" s="5"/>
      <c r="N153" s="5"/>
    </row>
    <row r="154" spans="7:14">
      <c r="G154" s="5"/>
      <c r="K154" s="5"/>
      <c r="N154" s="5"/>
    </row>
    <row r="155" spans="7:14">
      <c r="G155" s="5"/>
      <c r="K155" s="5"/>
      <c r="N155" s="5"/>
    </row>
    <row r="156" spans="7:14">
      <c r="G156" s="5"/>
      <c r="K156" s="5"/>
      <c r="N156" s="5"/>
    </row>
    <row r="157" spans="7:14">
      <c r="G157" s="5"/>
      <c r="K157" s="5"/>
      <c r="N157" s="5"/>
    </row>
    <row r="158" spans="7:14">
      <c r="G158" s="5"/>
      <c r="K158" s="5"/>
      <c r="N158" s="5"/>
    </row>
    <row r="159" spans="7:14">
      <c r="G159" s="5"/>
      <c r="K159" s="5"/>
      <c r="N159" s="5"/>
    </row>
    <row r="160" spans="7:14">
      <c r="G160" s="5"/>
      <c r="K160" s="5"/>
      <c r="N160" s="5"/>
    </row>
    <row r="161" spans="7:14">
      <c r="G161" s="5"/>
      <c r="K161" s="5"/>
      <c r="N161" s="5"/>
    </row>
    <row r="162" spans="7:14">
      <c r="G162" s="5"/>
      <c r="K162" s="5"/>
      <c r="N162" s="5"/>
    </row>
    <row r="163" spans="7:14">
      <c r="G163" s="5"/>
      <c r="K163" s="5"/>
      <c r="N163" s="5"/>
    </row>
    <row r="164" spans="7:14">
      <c r="G164" s="5"/>
      <c r="K164" s="5"/>
      <c r="N164" s="5"/>
    </row>
    <row r="165" spans="7:14">
      <c r="G165" s="5"/>
      <c r="K165" s="5"/>
      <c r="N165" s="5"/>
    </row>
    <row r="166" spans="7:14">
      <c r="G166" s="5"/>
      <c r="K166" s="5"/>
      <c r="N166" s="5"/>
    </row>
    <row r="167" spans="7:14">
      <c r="G167" s="5"/>
      <c r="K167" s="5"/>
      <c r="N167" s="5"/>
    </row>
    <row r="168" spans="7:14">
      <c r="G168" s="5"/>
      <c r="K168" s="5"/>
      <c r="N168" s="5"/>
    </row>
    <row r="169" spans="7:14">
      <c r="G169" s="5"/>
      <c r="K169" s="5"/>
      <c r="N169" s="5"/>
    </row>
    <row r="170" spans="7:14">
      <c r="G170" s="5"/>
      <c r="K170" s="5"/>
      <c r="N170" s="5"/>
    </row>
    <row r="171" spans="7:14">
      <c r="G171" s="5"/>
      <c r="K171" s="5"/>
      <c r="N171" s="5"/>
    </row>
    <row r="172" spans="7:14">
      <c r="G172" s="5"/>
      <c r="K172" s="5"/>
      <c r="N172" s="5"/>
    </row>
    <row r="173" spans="7:14">
      <c r="G173" s="5"/>
      <c r="K173" s="5"/>
      <c r="N173" s="5"/>
    </row>
    <row r="174" spans="7:14">
      <c r="G174" s="5"/>
      <c r="K174" s="5"/>
      <c r="N174" s="5"/>
    </row>
    <row r="175" spans="7:14">
      <c r="G175" s="5"/>
      <c r="K175" s="5"/>
      <c r="N175" s="5"/>
    </row>
    <row r="176" spans="7:14">
      <c r="G176" s="5"/>
      <c r="K176" s="5"/>
      <c r="N176" s="5"/>
    </row>
    <row r="177" spans="7:14">
      <c r="G177" s="5"/>
      <c r="K177" s="5"/>
      <c r="N177" s="5"/>
    </row>
    <row r="178" spans="7:14">
      <c r="G178" s="5"/>
      <c r="K178" s="5"/>
      <c r="N178" s="5"/>
    </row>
    <row r="179" spans="7:14">
      <c r="G179" s="5"/>
      <c r="K179" s="5"/>
      <c r="N179" s="5"/>
    </row>
    <row r="180" spans="7:14">
      <c r="G180" s="5"/>
      <c r="K180" s="5"/>
      <c r="N180" s="5"/>
    </row>
    <row r="181" spans="7:14">
      <c r="G181" s="5"/>
      <c r="K181" s="5"/>
      <c r="N181" s="5"/>
    </row>
    <row r="182" spans="7:14">
      <c r="G182" s="5"/>
      <c r="K182" s="5"/>
      <c r="N182" s="5"/>
    </row>
    <row r="183" spans="7:14">
      <c r="G183" s="5"/>
      <c r="K183" s="5"/>
      <c r="N183" s="5"/>
    </row>
    <row r="184" spans="7:14">
      <c r="G184" s="5"/>
      <c r="K184" s="5"/>
      <c r="N184" s="5"/>
    </row>
    <row r="185" spans="7:14">
      <c r="G185" s="5"/>
      <c r="K185" s="5"/>
      <c r="N185" s="5"/>
    </row>
    <row r="186" spans="7:14">
      <c r="G186" s="5"/>
      <c r="K186" s="5"/>
      <c r="N186" s="5"/>
    </row>
    <row r="187" spans="7:14">
      <c r="G187" s="5"/>
      <c r="K187" s="5"/>
      <c r="N187" s="5"/>
    </row>
    <row r="188" spans="7:14">
      <c r="G188" s="5"/>
      <c r="K188" s="5"/>
      <c r="N188" s="5"/>
    </row>
    <row r="189" spans="7:14">
      <c r="G189" s="5"/>
      <c r="K189" s="5"/>
      <c r="N189" s="5"/>
    </row>
    <row r="190" spans="7:14">
      <c r="G190" s="5"/>
      <c r="K190" s="5"/>
      <c r="N190" s="5"/>
    </row>
    <row r="191" spans="7:14">
      <c r="G191" s="5"/>
      <c r="K191" s="5"/>
      <c r="N191" s="5"/>
    </row>
    <row r="192" spans="7:14">
      <c r="G192" s="5"/>
      <c r="K192" s="5"/>
      <c r="N192" s="5"/>
    </row>
    <row r="193" spans="7:14">
      <c r="G193" s="5"/>
      <c r="K193" s="5"/>
      <c r="N193" s="5"/>
    </row>
    <row r="194" spans="7:14">
      <c r="G194" s="5"/>
      <c r="K194" s="5"/>
      <c r="N194" s="5"/>
    </row>
    <row r="195" spans="7:14">
      <c r="G195" s="5"/>
      <c r="K195" s="5"/>
      <c r="N195" s="5"/>
    </row>
    <row r="196" spans="7:14">
      <c r="G196" s="5"/>
      <c r="K196" s="5"/>
      <c r="N196" s="5"/>
    </row>
    <row r="197" spans="7:14">
      <c r="G197" s="5"/>
      <c r="K197" s="5"/>
      <c r="N197" s="5"/>
    </row>
    <row r="198" spans="7:14">
      <c r="G198" s="5"/>
      <c r="K198" s="5"/>
      <c r="N198" s="5"/>
    </row>
    <row r="199" spans="7:14">
      <c r="G199" s="5"/>
      <c r="K199" s="5"/>
      <c r="N199" s="5"/>
    </row>
    <row r="200" spans="7:14">
      <c r="G200" s="5"/>
      <c r="K200" s="5"/>
      <c r="N200" s="5"/>
    </row>
    <row r="201" spans="7:14">
      <c r="G201" s="5"/>
      <c r="K201" s="5"/>
      <c r="N201" s="5"/>
    </row>
    <row r="202" spans="7:14">
      <c r="G202" s="5"/>
      <c r="K202" s="5"/>
      <c r="N202" s="5"/>
    </row>
    <row r="203" spans="7:14">
      <c r="G203" s="5"/>
      <c r="K203" s="5"/>
      <c r="N203" s="5"/>
    </row>
    <row r="204" spans="7:14">
      <c r="G204" s="5"/>
      <c r="K204" s="5"/>
      <c r="N204" s="5"/>
    </row>
    <row r="205" spans="7:14">
      <c r="G205" s="5"/>
      <c r="K205" s="5"/>
      <c r="N205" s="5"/>
    </row>
    <row r="206" spans="7:14">
      <c r="G206" s="5"/>
      <c r="K206" s="5"/>
      <c r="N206" s="5"/>
    </row>
    <row r="207" spans="7:14">
      <c r="G207" s="5"/>
      <c r="K207" s="5"/>
      <c r="N207" s="5"/>
    </row>
    <row r="208" spans="7:14">
      <c r="G208" s="5"/>
      <c r="K208" s="5"/>
      <c r="N208" s="5"/>
    </row>
    <row r="209" spans="7:14">
      <c r="G209" s="5"/>
      <c r="K209" s="5"/>
      <c r="N209" s="5"/>
    </row>
    <row r="210" spans="7:14">
      <c r="G210" s="5"/>
      <c r="K210" s="5"/>
      <c r="N210" s="5"/>
    </row>
    <row r="211" spans="7:14">
      <c r="G211" s="5"/>
      <c r="K211" s="5"/>
      <c r="N211" s="5"/>
    </row>
    <row r="212" spans="7:14">
      <c r="G212" s="5"/>
      <c r="K212" s="5"/>
      <c r="N212" s="5"/>
    </row>
    <row r="213" spans="7:14">
      <c r="G213" s="5"/>
      <c r="K213" s="5"/>
      <c r="N213" s="5"/>
    </row>
    <row r="214" spans="7:14">
      <c r="G214" s="5"/>
      <c r="K214" s="5"/>
      <c r="N214" s="5"/>
    </row>
    <row r="215" spans="7:14">
      <c r="G215" s="5"/>
      <c r="K215" s="5"/>
      <c r="N215" s="5"/>
    </row>
    <row r="216" spans="7:14">
      <c r="G216" s="5"/>
      <c r="K216" s="5"/>
      <c r="N216" s="5"/>
    </row>
    <row r="217" spans="7:14">
      <c r="G217" s="5"/>
      <c r="K217" s="5"/>
      <c r="N217" s="5"/>
    </row>
    <row r="218" spans="7:14">
      <c r="G218" s="5"/>
      <c r="K218" s="5"/>
      <c r="N218" s="5"/>
    </row>
    <row r="219" spans="7:14">
      <c r="G219" s="5"/>
      <c r="K219" s="5"/>
      <c r="N219" s="5"/>
    </row>
    <row r="220" spans="7:14">
      <c r="G220" s="5"/>
      <c r="K220" s="5"/>
      <c r="N220" s="5"/>
    </row>
    <row r="221" spans="7:14">
      <c r="G221" s="5"/>
      <c r="K221" s="5"/>
      <c r="N221" s="5"/>
    </row>
    <row r="222" spans="7:14">
      <c r="G222" s="5"/>
      <c r="K222" s="5"/>
      <c r="N222" s="5"/>
    </row>
    <row r="223" spans="7:14">
      <c r="G223" s="5"/>
      <c r="K223" s="5"/>
      <c r="N223" s="5"/>
    </row>
    <row r="224" spans="7:14">
      <c r="G224" s="5"/>
      <c r="K224" s="5"/>
      <c r="N224" s="5"/>
    </row>
    <row r="225" spans="7:14">
      <c r="G225" s="5"/>
      <c r="K225" s="5"/>
      <c r="N225" s="5"/>
    </row>
    <row r="226" spans="7:14">
      <c r="G226" s="5"/>
      <c r="K226" s="5"/>
      <c r="N226" s="5"/>
    </row>
    <row r="227" spans="7:14">
      <c r="G227" s="5"/>
      <c r="K227" s="5"/>
      <c r="N227" s="5"/>
    </row>
    <row r="228" spans="7:14">
      <c r="G228" s="5"/>
      <c r="K228" s="5"/>
      <c r="N228" s="5"/>
    </row>
    <row r="229" spans="7:14">
      <c r="G229" s="5"/>
      <c r="K229" s="5"/>
      <c r="N229" s="5"/>
    </row>
    <row r="230" spans="7:14">
      <c r="G230" s="5"/>
      <c r="K230" s="5"/>
      <c r="N230" s="5"/>
    </row>
    <row r="231" spans="7:14">
      <c r="G231" s="5"/>
      <c r="K231" s="5"/>
      <c r="N231" s="5"/>
    </row>
    <row r="232" spans="7:14">
      <c r="G232" s="5"/>
      <c r="K232" s="5"/>
      <c r="N232" s="5"/>
    </row>
    <row r="233" spans="7:14">
      <c r="G233" s="5"/>
      <c r="K233" s="5"/>
      <c r="N233" s="5"/>
    </row>
    <row r="234" spans="7:14">
      <c r="G234" s="5"/>
      <c r="K234" s="5"/>
      <c r="N234" s="5"/>
    </row>
    <row r="235" spans="7:14">
      <c r="G235" s="5"/>
      <c r="K235" s="5"/>
      <c r="N235" s="5"/>
    </row>
    <row r="236" spans="7:14">
      <c r="G236" s="5"/>
      <c r="K236" s="5"/>
      <c r="N236" s="5"/>
    </row>
    <row r="237" spans="7:14">
      <c r="G237" s="5"/>
      <c r="K237" s="5"/>
      <c r="N237" s="5"/>
    </row>
    <row r="238" spans="7:14">
      <c r="G238" s="5"/>
      <c r="K238" s="5"/>
      <c r="N238" s="5"/>
    </row>
    <row r="239" spans="7:14">
      <c r="G239" s="5"/>
      <c r="K239" s="5"/>
      <c r="N239" s="5"/>
    </row>
    <row r="240" spans="7:14">
      <c r="G240" s="5"/>
      <c r="K240" s="5"/>
      <c r="N240" s="5"/>
    </row>
    <row r="241" spans="7:14">
      <c r="G241" s="5"/>
      <c r="K241" s="5"/>
      <c r="N241" s="5"/>
    </row>
    <row r="242" spans="7:14">
      <c r="G242" s="5"/>
      <c r="K242" s="5"/>
      <c r="N242" s="5"/>
    </row>
    <row r="243" spans="7:14">
      <c r="G243" s="5"/>
      <c r="K243" s="5"/>
      <c r="N243" s="5"/>
    </row>
    <row r="244" spans="7:14">
      <c r="G244" s="5"/>
      <c r="K244" s="5"/>
      <c r="N244" s="5"/>
    </row>
    <row r="245" spans="7:14">
      <c r="G245" s="5"/>
      <c r="K245" s="5"/>
      <c r="N245" s="5"/>
    </row>
    <row r="246" spans="7:14">
      <c r="G246" s="5"/>
      <c r="K246" s="5"/>
      <c r="N246" s="5"/>
    </row>
    <row r="247" spans="7:14">
      <c r="G247" s="5"/>
      <c r="K247" s="5"/>
      <c r="N247" s="5"/>
    </row>
    <row r="248" spans="7:14">
      <c r="G248" s="5"/>
      <c r="K248" s="5"/>
      <c r="N248" s="5"/>
    </row>
    <row r="249" spans="7:14">
      <c r="G249" s="5"/>
      <c r="K249" s="5"/>
      <c r="N249" s="5"/>
    </row>
    <row r="250" spans="7:14">
      <c r="G250" s="5"/>
      <c r="K250" s="5"/>
      <c r="N250" s="5"/>
    </row>
    <row r="251" spans="7:14">
      <c r="G251" s="5"/>
      <c r="K251" s="5"/>
      <c r="N251" s="5"/>
    </row>
    <row r="252" spans="7:14">
      <c r="G252" s="5"/>
      <c r="K252" s="5"/>
      <c r="N252" s="5"/>
    </row>
    <row r="253" spans="7:14">
      <c r="G253" s="5"/>
      <c r="K253" s="5"/>
      <c r="N253" s="5"/>
    </row>
    <row r="254" spans="7:14">
      <c r="G254" s="5"/>
      <c r="K254" s="5"/>
      <c r="N254" s="5"/>
    </row>
    <row r="255" spans="7:14">
      <c r="G255" s="5"/>
      <c r="K255" s="5"/>
      <c r="N255" s="5"/>
    </row>
    <row r="256" spans="7:14">
      <c r="G256" s="5"/>
      <c r="K256" s="5"/>
      <c r="N256" s="5"/>
    </row>
    <row r="257" spans="7:14">
      <c r="G257" s="5"/>
      <c r="K257" s="5"/>
      <c r="N257" s="5"/>
    </row>
    <row r="258" spans="7:14">
      <c r="G258" s="5"/>
      <c r="K258" s="5"/>
      <c r="N258" s="5"/>
    </row>
    <row r="259" spans="7:14">
      <c r="G259" s="5"/>
      <c r="K259" s="5"/>
      <c r="N259" s="5"/>
    </row>
    <row r="260" spans="7:14">
      <c r="G260" s="5"/>
      <c r="K260" s="5"/>
      <c r="N260" s="5"/>
    </row>
    <row r="261" spans="7:14">
      <c r="G261" s="5"/>
      <c r="K261" s="5"/>
      <c r="N261" s="5"/>
    </row>
    <row r="262" spans="7:14">
      <c r="G262" s="5"/>
      <c r="K262" s="5"/>
      <c r="N262" s="5"/>
    </row>
    <row r="263" spans="7:14">
      <c r="G263" s="5"/>
      <c r="K263" s="5"/>
      <c r="N263" s="5"/>
    </row>
    <row r="264" spans="7:14">
      <c r="G264" s="5"/>
      <c r="K264" s="5"/>
      <c r="N264" s="5"/>
    </row>
    <row r="265" spans="7:14">
      <c r="G265" s="5"/>
      <c r="K265" s="5"/>
      <c r="N265" s="5"/>
    </row>
    <row r="266" spans="7:14">
      <c r="G266" s="5"/>
      <c r="K266" s="5"/>
      <c r="N266" s="5"/>
    </row>
    <row r="267" spans="7:14">
      <c r="G267" s="5"/>
      <c r="K267" s="5"/>
      <c r="N267" s="5"/>
    </row>
    <row r="268" spans="7:14">
      <c r="G268" s="5"/>
      <c r="K268" s="5"/>
      <c r="N268" s="5"/>
    </row>
    <row r="269" spans="7:14">
      <c r="G269" s="5"/>
      <c r="K269" s="5"/>
      <c r="N269" s="5"/>
    </row>
    <row r="270" spans="7:14">
      <c r="G270" s="5"/>
      <c r="K270" s="5"/>
      <c r="N270" s="5"/>
    </row>
    <row r="271" spans="7:14">
      <c r="G271" s="5"/>
      <c r="K271" s="5"/>
      <c r="N271" s="5"/>
    </row>
    <row r="272" spans="7:14">
      <c r="G272" s="5"/>
      <c r="K272" s="5"/>
      <c r="N272" s="5"/>
    </row>
    <row r="273" spans="7:14">
      <c r="G273" s="5"/>
      <c r="K273" s="5"/>
      <c r="N273" s="5"/>
    </row>
    <row r="274" spans="7:14">
      <c r="G274" s="5"/>
      <c r="K274" s="5"/>
      <c r="N274" s="5"/>
    </row>
    <row r="275" spans="7:14">
      <c r="G275" s="5"/>
      <c r="K275" s="5"/>
      <c r="N275" s="5"/>
    </row>
    <row r="276" spans="7:14">
      <c r="G276" s="5"/>
      <c r="K276" s="5"/>
      <c r="N276" s="5"/>
    </row>
    <row r="277" spans="7:14">
      <c r="G277" s="5"/>
      <c r="K277" s="5"/>
      <c r="N277" s="5"/>
    </row>
    <row r="278" spans="7:14">
      <c r="G278" s="5"/>
      <c r="K278" s="5"/>
      <c r="N278" s="5"/>
    </row>
    <row r="279" spans="7:14">
      <c r="G279" s="5"/>
      <c r="K279" s="5"/>
      <c r="N279" s="5"/>
    </row>
    <row r="280" spans="7:14">
      <c r="G280" s="5"/>
      <c r="K280" s="5"/>
      <c r="N280" s="5"/>
    </row>
    <row r="281" spans="7:14">
      <c r="G281" s="5"/>
      <c r="K281" s="5"/>
      <c r="N281" s="5"/>
    </row>
    <row r="282" spans="7:14">
      <c r="G282" s="5"/>
      <c r="K282" s="5"/>
      <c r="N282" s="5"/>
    </row>
    <row r="283" spans="7:14">
      <c r="G283" s="5"/>
      <c r="K283" s="5"/>
      <c r="N283" s="5"/>
    </row>
    <row r="284" spans="7:14">
      <c r="G284" s="5"/>
      <c r="K284" s="5"/>
      <c r="N284" s="5"/>
    </row>
    <row r="285" spans="7:14">
      <c r="G285" s="5"/>
      <c r="K285" s="5"/>
      <c r="N285" s="5"/>
    </row>
    <row r="286" spans="7:14">
      <c r="G286" s="5"/>
      <c r="K286" s="5"/>
      <c r="N286" s="5"/>
    </row>
    <row r="287" spans="7:14">
      <c r="G287" s="5"/>
      <c r="K287" s="5"/>
      <c r="N287" s="5"/>
    </row>
    <row r="288" spans="7:14">
      <c r="G288" s="5"/>
      <c r="K288" s="5"/>
      <c r="N288" s="5"/>
    </row>
    <row r="289" spans="7:14">
      <c r="G289" s="5"/>
      <c r="K289" s="5"/>
      <c r="N289" s="5"/>
    </row>
    <row r="290" spans="7:14">
      <c r="G290" s="5"/>
      <c r="K290" s="5"/>
      <c r="N290" s="5"/>
    </row>
    <row r="291" spans="7:14">
      <c r="G291" s="5"/>
      <c r="K291" s="5"/>
      <c r="N291" s="5"/>
    </row>
    <row r="292" spans="7:14">
      <c r="G292" s="5"/>
      <c r="K292" s="5"/>
      <c r="N292" s="5"/>
    </row>
    <row r="293" spans="7:14">
      <c r="G293" s="5"/>
      <c r="K293" s="5"/>
      <c r="N293" s="5"/>
    </row>
    <row r="294" spans="7:14">
      <c r="G294" s="5"/>
      <c r="K294" s="5"/>
      <c r="N294" s="5"/>
    </row>
    <row r="295" spans="7:14">
      <c r="G295" s="5"/>
      <c r="K295" s="5"/>
      <c r="N295" s="5"/>
    </row>
    <row r="296" spans="7:14">
      <c r="G296" s="5"/>
      <c r="K296" s="5"/>
      <c r="N296" s="5"/>
    </row>
    <row r="297" spans="7:14">
      <c r="G297" s="5"/>
      <c r="K297" s="5"/>
      <c r="N297" s="5"/>
    </row>
    <row r="298" spans="7:14">
      <c r="G298" s="5"/>
      <c r="K298" s="5"/>
      <c r="N298" s="5"/>
    </row>
    <row r="299" spans="7:14">
      <c r="G299" s="5"/>
      <c r="K299" s="5"/>
      <c r="N299" s="5"/>
    </row>
    <row r="300" spans="7:14">
      <c r="G300" s="5"/>
      <c r="K300" s="5"/>
      <c r="N300" s="5"/>
    </row>
    <row r="301" spans="7:14">
      <c r="G301" s="5"/>
      <c r="K301" s="5"/>
      <c r="N301" s="5"/>
    </row>
    <row r="302" spans="7:14">
      <c r="G302" s="5"/>
      <c r="K302" s="5"/>
      <c r="N302" s="5"/>
    </row>
    <row r="303" spans="7:14">
      <c r="G303" s="5"/>
      <c r="K303" s="5"/>
      <c r="N303" s="5"/>
    </row>
    <row r="304" spans="7:14">
      <c r="G304" s="5"/>
      <c r="K304" s="5"/>
      <c r="N304" s="5"/>
    </row>
    <row r="305" spans="7:14">
      <c r="G305" s="5"/>
      <c r="K305" s="5"/>
      <c r="N305" s="5"/>
    </row>
    <row r="306" spans="7:14">
      <c r="G306" s="5"/>
      <c r="K306" s="5"/>
      <c r="N306" s="5"/>
    </row>
    <row r="307" spans="7:14">
      <c r="G307" s="5"/>
      <c r="K307" s="5"/>
      <c r="N307" s="5"/>
    </row>
    <row r="308" spans="7:14">
      <c r="G308" s="5"/>
      <c r="K308" s="5"/>
      <c r="N308" s="5"/>
    </row>
    <row r="309" spans="7:14">
      <c r="G309" s="5"/>
      <c r="K309" s="5"/>
      <c r="N309" s="5"/>
    </row>
    <row r="310" spans="7:14">
      <c r="G310" s="5"/>
      <c r="K310" s="5"/>
      <c r="N310" s="5"/>
    </row>
    <row r="311" spans="7:14">
      <c r="G311" s="5"/>
      <c r="K311" s="5"/>
      <c r="N311" s="5"/>
    </row>
    <row r="312" spans="7:14">
      <c r="G312" s="5"/>
      <c r="K312" s="5"/>
      <c r="N312" s="5"/>
    </row>
    <row r="313" spans="7:14">
      <c r="G313" s="5"/>
      <c r="K313" s="5"/>
      <c r="N313" s="5"/>
    </row>
    <row r="314" spans="7:14">
      <c r="G314" s="5"/>
      <c r="K314" s="5"/>
      <c r="N314" s="5"/>
    </row>
    <row r="315" spans="7:14">
      <c r="G315" s="5"/>
      <c r="K315" s="5"/>
      <c r="N315" s="5"/>
    </row>
    <row r="316" spans="7:14">
      <c r="G316" s="5"/>
      <c r="K316" s="5"/>
      <c r="N316" s="5"/>
    </row>
    <row r="317" spans="7:14">
      <c r="G317" s="5"/>
      <c r="K317" s="5"/>
      <c r="N317" s="5"/>
    </row>
    <row r="318" spans="7:14">
      <c r="G318" s="5"/>
      <c r="K318" s="5"/>
      <c r="N318" s="5"/>
    </row>
    <row r="319" spans="7:14">
      <c r="G319" s="5"/>
      <c r="K319" s="5"/>
      <c r="N319" s="5"/>
    </row>
    <row r="320" spans="7:14">
      <c r="G320" s="5"/>
      <c r="K320" s="5"/>
      <c r="N320" s="5"/>
    </row>
    <row r="321" spans="7:14">
      <c r="G321" s="5"/>
      <c r="K321" s="5"/>
      <c r="N321" s="5"/>
    </row>
    <row r="322" spans="7:14">
      <c r="G322" s="5"/>
      <c r="K322" s="5"/>
      <c r="N322" s="5"/>
    </row>
    <row r="323" spans="7:14">
      <c r="G323" s="5"/>
      <c r="K323" s="5"/>
      <c r="N323" s="5"/>
    </row>
    <row r="324" spans="7:14">
      <c r="G324" s="5"/>
      <c r="K324" s="5"/>
      <c r="N324" s="5"/>
    </row>
    <row r="325" spans="7:14">
      <c r="G325" s="5"/>
      <c r="K325" s="5"/>
      <c r="N325" s="5"/>
    </row>
    <row r="326" spans="7:14">
      <c r="G326" s="5"/>
      <c r="K326" s="5"/>
      <c r="N326" s="5"/>
    </row>
    <row r="327" spans="7:14">
      <c r="G327" s="5"/>
      <c r="K327" s="5"/>
      <c r="N327" s="5"/>
    </row>
    <row r="328" spans="7:14">
      <c r="G328" s="5"/>
      <c r="K328" s="5"/>
      <c r="N328" s="5"/>
    </row>
    <row r="329" spans="7:14">
      <c r="G329" s="5"/>
      <c r="K329" s="5"/>
      <c r="N329" s="5"/>
    </row>
    <row r="330" spans="7:14">
      <c r="G330" s="5"/>
      <c r="K330" s="5"/>
      <c r="N330" s="5"/>
    </row>
    <row r="331" spans="7:14">
      <c r="G331" s="5"/>
      <c r="K331" s="5"/>
      <c r="N331" s="5"/>
    </row>
    <row r="332" spans="7:14">
      <c r="G332" s="5"/>
      <c r="K332" s="5"/>
      <c r="N332" s="5"/>
    </row>
    <row r="333" spans="7:14">
      <c r="G333" s="5"/>
      <c r="K333" s="5"/>
      <c r="N333" s="5"/>
    </row>
    <row r="334" spans="7:14">
      <c r="G334" s="5"/>
      <c r="K334" s="5"/>
      <c r="N334" s="5"/>
    </row>
    <row r="335" spans="7:14">
      <c r="G335" s="5"/>
      <c r="K335" s="5"/>
      <c r="N335" s="5"/>
    </row>
    <row r="336" spans="7:14">
      <c r="G336" s="5"/>
      <c r="K336" s="5"/>
      <c r="N336" s="5"/>
    </row>
    <row r="337" spans="7:14">
      <c r="G337" s="5"/>
      <c r="K337" s="5"/>
      <c r="N337" s="5"/>
    </row>
    <row r="338" spans="7:14">
      <c r="G338" s="5"/>
      <c r="K338" s="5"/>
      <c r="N338" s="5"/>
    </row>
    <row r="339" spans="7:14">
      <c r="G339" s="5"/>
      <c r="K339" s="5"/>
      <c r="N339" s="5"/>
    </row>
    <row r="340" spans="7:14">
      <c r="G340" s="5"/>
      <c r="K340" s="5"/>
      <c r="N340" s="5"/>
    </row>
    <row r="341" spans="7:14">
      <c r="G341" s="5"/>
      <c r="K341" s="5"/>
      <c r="N341" s="5"/>
    </row>
    <row r="342" spans="7:14">
      <c r="G342" s="5"/>
      <c r="K342" s="5"/>
      <c r="N342" s="5"/>
    </row>
    <row r="343" spans="7:14">
      <c r="G343" s="5"/>
      <c r="K343" s="5"/>
      <c r="N343" s="5"/>
    </row>
    <row r="344" spans="7:14">
      <c r="G344" s="5"/>
      <c r="K344" s="5"/>
      <c r="N344" s="5"/>
    </row>
    <row r="345" spans="7:14">
      <c r="G345" s="5"/>
      <c r="K345" s="5"/>
      <c r="N345" s="5"/>
    </row>
    <row r="346" spans="7:14">
      <c r="G346" s="5"/>
      <c r="K346" s="5"/>
      <c r="N346" s="5"/>
    </row>
    <row r="347" spans="7:14">
      <c r="G347" s="5"/>
      <c r="K347" s="5"/>
      <c r="N347" s="5"/>
    </row>
    <row r="348" spans="7:14">
      <c r="G348" s="5"/>
      <c r="K348" s="5"/>
      <c r="N348" s="5"/>
    </row>
    <row r="349" spans="7:14">
      <c r="G349" s="5"/>
      <c r="K349" s="5"/>
      <c r="N349" s="5"/>
    </row>
    <row r="350" spans="7:14">
      <c r="G350" s="5"/>
      <c r="K350" s="5"/>
      <c r="N350" s="5"/>
    </row>
    <row r="351" spans="7:14">
      <c r="G351" s="5"/>
      <c r="K351" s="5"/>
      <c r="N351" s="5"/>
    </row>
    <row r="352" spans="7:14">
      <c r="G352" s="5"/>
      <c r="K352" s="5"/>
      <c r="N352" s="5"/>
    </row>
    <row r="353" spans="7:14">
      <c r="G353" s="5"/>
      <c r="K353" s="5"/>
      <c r="N353" s="5"/>
    </row>
    <row r="354" spans="7:14">
      <c r="G354" s="5"/>
      <c r="K354" s="5"/>
      <c r="N354" s="5"/>
    </row>
    <row r="355" spans="7:14">
      <c r="G355" s="5"/>
      <c r="K355" s="5"/>
      <c r="N355" s="5"/>
    </row>
    <row r="356" spans="7:14">
      <c r="G356" s="5"/>
      <c r="K356" s="5"/>
      <c r="N356" s="5"/>
    </row>
    <row r="357" spans="7:14">
      <c r="G357" s="5"/>
      <c r="K357" s="5"/>
      <c r="N357" s="5"/>
    </row>
    <row r="358" spans="7:14">
      <c r="G358" s="5"/>
      <c r="K358" s="5"/>
      <c r="N358" s="5"/>
    </row>
    <row r="359" spans="7:14">
      <c r="G359" s="5"/>
      <c r="K359" s="5"/>
      <c r="N359" s="5"/>
    </row>
    <row r="360" spans="7:14">
      <c r="G360" s="5"/>
      <c r="K360" s="5"/>
      <c r="N360" s="5"/>
    </row>
    <row r="361" spans="7:14">
      <c r="G361" s="5"/>
      <c r="K361" s="5"/>
      <c r="N361" s="5"/>
    </row>
    <row r="362" spans="7:14">
      <c r="G362" s="5"/>
      <c r="K362" s="5"/>
      <c r="N362" s="5"/>
    </row>
    <row r="363" spans="7:14">
      <c r="G363" s="5"/>
      <c r="K363" s="5"/>
      <c r="N363" s="5"/>
    </row>
    <row r="364" spans="7:14">
      <c r="G364" s="5"/>
      <c r="K364" s="5"/>
      <c r="N364" s="5"/>
    </row>
    <row r="365" spans="7:14">
      <c r="G365" s="5"/>
      <c r="K365" s="5"/>
      <c r="N365" s="5"/>
    </row>
    <row r="366" spans="7:14">
      <c r="G366" s="5"/>
      <c r="K366" s="5"/>
      <c r="N366" s="5"/>
    </row>
    <row r="367" spans="7:14">
      <c r="G367" s="5"/>
      <c r="K367" s="5"/>
      <c r="N367" s="5"/>
    </row>
    <row r="368" spans="7:14">
      <c r="G368" s="5"/>
      <c r="K368" s="5"/>
      <c r="N368" s="5"/>
    </row>
    <row r="369" spans="7:14">
      <c r="G369" s="5"/>
      <c r="K369" s="5"/>
      <c r="N369" s="5"/>
    </row>
    <row r="370" spans="7:14">
      <c r="G370" s="5"/>
      <c r="K370" s="5"/>
      <c r="N370" s="5"/>
    </row>
    <row r="371" spans="7:14">
      <c r="G371" s="5"/>
      <c r="K371" s="5"/>
      <c r="N371" s="5"/>
    </row>
    <row r="372" spans="7:14">
      <c r="G372" s="5"/>
      <c r="K372" s="5"/>
      <c r="N372" s="5"/>
    </row>
    <row r="373" spans="7:14">
      <c r="G373" s="5"/>
      <c r="K373" s="5"/>
      <c r="N373" s="5"/>
    </row>
    <row r="374" spans="7:14">
      <c r="G374" s="5"/>
      <c r="K374" s="5"/>
      <c r="N374" s="5"/>
    </row>
    <row r="375" spans="7:14">
      <c r="G375" s="5"/>
      <c r="K375" s="5"/>
      <c r="N375" s="5"/>
    </row>
    <row r="376" spans="7:14">
      <c r="G376" s="5"/>
      <c r="K376" s="5"/>
      <c r="N376" s="5"/>
    </row>
    <row r="377" spans="7:14">
      <c r="G377" s="5"/>
      <c r="K377" s="5"/>
      <c r="N377" s="5"/>
    </row>
    <row r="378" spans="7:14">
      <c r="G378" s="5"/>
      <c r="K378" s="5"/>
      <c r="N378" s="5"/>
    </row>
    <row r="379" spans="7:14">
      <c r="G379" s="5"/>
      <c r="K379" s="5"/>
      <c r="N379" s="5"/>
    </row>
    <row r="380" spans="7:14">
      <c r="G380" s="5"/>
      <c r="K380" s="5"/>
      <c r="N380" s="5"/>
    </row>
    <row r="381" spans="7:14">
      <c r="G381" s="5"/>
      <c r="K381" s="5"/>
      <c r="N381" s="5"/>
    </row>
    <row r="382" spans="7:14">
      <c r="G382" s="5"/>
      <c r="K382" s="5"/>
      <c r="N382" s="5"/>
    </row>
    <row r="383" spans="7:14">
      <c r="G383" s="5"/>
      <c r="K383" s="5"/>
      <c r="N383" s="5"/>
    </row>
    <row r="384" spans="7:14">
      <c r="G384" s="5"/>
      <c r="K384" s="5"/>
      <c r="N384" s="5"/>
    </row>
    <row r="385" spans="7:14">
      <c r="G385" s="5"/>
      <c r="K385" s="5"/>
      <c r="N385" s="5"/>
    </row>
    <row r="386" spans="7:14">
      <c r="G386" s="5"/>
      <c r="K386" s="5"/>
      <c r="N386" s="5"/>
    </row>
    <row r="387" spans="7:14">
      <c r="G387" s="5"/>
      <c r="K387" s="5"/>
      <c r="N387" s="5"/>
    </row>
    <row r="388" spans="7:14">
      <c r="G388" s="5"/>
      <c r="K388" s="5"/>
      <c r="N388" s="5"/>
    </row>
    <row r="389" spans="7:14">
      <c r="G389" s="5"/>
      <c r="K389" s="5"/>
      <c r="N389" s="5"/>
    </row>
    <row r="390" spans="7:14">
      <c r="G390" s="5"/>
      <c r="K390" s="5"/>
      <c r="N390" s="5"/>
    </row>
    <row r="391" spans="7:14">
      <c r="G391" s="5"/>
      <c r="K391" s="5"/>
      <c r="N391" s="5"/>
    </row>
    <row r="392" spans="7:14">
      <c r="G392" s="5"/>
      <c r="K392" s="5"/>
      <c r="N392" s="5"/>
    </row>
    <row r="393" spans="7:14">
      <c r="G393" s="5"/>
      <c r="K393" s="5"/>
      <c r="N393" s="5"/>
    </row>
    <row r="394" spans="7:14">
      <c r="G394" s="5"/>
      <c r="K394" s="5"/>
      <c r="N394" s="5"/>
    </row>
    <row r="395" spans="7:14">
      <c r="G395" s="5"/>
      <c r="K395" s="5"/>
      <c r="N395" s="5"/>
    </row>
    <row r="396" spans="7:14">
      <c r="G396" s="5"/>
      <c r="K396" s="5"/>
      <c r="N396" s="5"/>
    </row>
    <row r="397" spans="7:14">
      <c r="G397" s="5"/>
      <c r="K397" s="5"/>
      <c r="N397" s="5"/>
    </row>
    <row r="398" spans="7:14">
      <c r="G398" s="5"/>
      <c r="K398" s="5"/>
      <c r="N398" s="5"/>
    </row>
    <row r="399" spans="7:14">
      <c r="G399" s="5"/>
      <c r="K399" s="5"/>
      <c r="N399" s="5"/>
    </row>
    <row r="400" spans="7:14">
      <c r="G400" s="5"/>
      <c r="K400" s="5"/>
      <c r="N400" s="5"/>
    </row>
    <row r="401" spans="7:14">
      <c r="G401" s="5"/>
      <c r="K401" s="5"/>
      <c r="N401" s="5"/>
    </row>
    <row r="402" spans="7:14">
      <c r="G402" s="5"/>
      <c r="K402" s="5"/>
      <c r="N402" s="5"/>
    </row>
    <row r="403" spans="7:14">
      <c r="G403" s="5"/>
      <c r="K403" s="5"/>
      <c r="N403" s="5"/>
    </row>
    <row r="404" spans="7:14">
      <c r="G404" s="5"/>
      <c r="K404" s="5"/>
      <c r="N404" s="5"/>
    </row>
    <row r="405" spans="7:14">
      <c r="G405" s="5"/>
      <c r="K405" s="5"/>
      <c r="N405" s="5"/>
    </row>
    <row r="406" spans="7:14">
      <c r="G406" s="5"/>
      <c r="K406" s="5"/>
      <c r="N406" s="5"/>
    </row>
    <row r="407" spans="7:14">
      <c r="G407" s="5"/>
      <c r="K407" s="5"/>
      <c r="N407" s="5"/>
    </row>
    <row r="408" spans="7:14">
      <c r="G408" s="5"/>
      <c r="K408" s="5"/>
      <c r="N408" s="5"/>
    </row>
    <row r="409" spans="7:14">
      <c r="G409" s="5"/>
      <c r="K409" s="5"/>
      <c r="N409" s="5"/>
    </row>
    <row r="410" spans="7:14">
      <c r="G410" s="5"/>
      <c r="K410" s="5"/>
      <c r="N410" s="5"/>
    </row>
    <row r="411" spans="7:14">
      <c r="G411" s="5"/>
      <c r="K411" s="5"/>
      <c r="N411" s="5"/>
    </row>
    <row r="412" spans="7:14">
      <c r="G412" s="5"/>
      <c r="K412" s="5"/>
      <c r="N412" s="5"/>
    </row>
    <row r="413" spans="7:14">
      <c r="G413" s="5"/>
      <c r="K413" s="5"/>
      <c r="N413" s="5"/>
    </row>
    <row r="414" spans="7:14">
      <c r="G414" s="5"/>
      <c r="K414" s="5"/>
      <c r="N414" s="5"/>
    </row>
    <row r="415" spans="7:14">
      <c r="G415" s="5"/>
      <c r="K415" s="5"/>
      <c r="N415" s="5"/>
    </row>
    <row r="416" spans="7:14">
      <c r="G416" s="5"/>
      <c r="K416" s="5"/>
      <c r="N416" s="5"/>
    </row>
    <row r="417" spans="7:14">
      <c r="G417" s="5"/>
      <c r="K417" s="5"/>
      <c r="N417" s="5"/>
    </row>
    <row r="418" spans="7:14">
      <c r="G418" s="5"/>
      <c r="K418" s="5"/>
      <c r="N418" s="5"/>
    </row>
    <row r="419" spans="7:14">
      <c r="G419" s="5"/>
      <c r="K419" s="5"/>
      <c r="N419" s="5"/>
    </row>
    <row r="420" spans="7:14">
      <c r="G420" s="5"/>
      <c r="K420" s="5"/>
      <c r="N420" s="5"/>
    </row>
    <row r="421" spans="7:14">
      <c r="G421" s="5"/>
      <c r="K421" s="5"/>
      <c r="N421" s="5"/>
    </row>
    <row r="422" spans="7:14">
      <c r="G422" s="5"/>
      <c r="K422" s="5"/>
      <c r="N422" s="5"/>
    </row>
    <row r="423" spans="7:14">
      <c r="G423" s="5"/>
      <c r="K423" s="5"/>
      <c r="N423" s="5"/>
    </row>
    <row r="424" spans="7:14">
      <c r="G424" s="5"/>
      <c r="K424" s="5"/>
      <c r="N424" s="5"/>
    </row>
    <row r="425" spans="7:14">
      <c r="G425" s="5"/>
      <c r="K425" s="5"/>
      <c r="N425" s="5"/>
    </row>
    <row r="426" spans="7:14">
      <c r="G426" s="5"/>
      <c r="K426" s="5"/>
      <c r="N426" s="5"/>
    </row>
    <row r="427" spans="7:14">
      <c r="G427" s="5"/>
      <c r="K427" s="5"/>
      <c r="N427" s="5"/>
    </row>
    <row r="428" spans="7:14">
      <c r="G428" s="5"/>
      <c r="K428" s="5"/>
      <c r="N428" s="5"/>
    </row>
    <row r="429" spans="7:14">
      <c r="G429" s="5"/>
      <c r="K429" s="5"/>
      <c r="N429" s="5"/>
    </row>
    <row r="430" spans="7:14">
      <c r="G430" s="5"/>
      <c r="K430" s="5"/>
      <c r="N430" s="5"/>
    </row>
    <row r="431" spans="7:14">
      <c r="G431" s="5"/>
      <c r="K431" s="5"/>
      <c r="N431" s="5"/>
    </row>
    <row r="432" spans="7:14">
      <c r="G432" s="5"/>
      <c r="K432" s="5"/>
      <c r="N432" s="5"/>
    </row>
    <row r="433" spans="7:14">
      <c r="G433" s="5"/>
      <c r="K433" s="5"/>
      <c r="N433" s="5"/>
    </row>
    <row r="434" spans="7:14">
      <c r="G434" s="5"/>
      <c r="K434" s="5"/>
      <c r="N434" s="5"/>
    </row>
    <row r="435" spans="7:14">
      <c r="G435" s="5"/>
      <c r="K435" s="5"/>
      <c r="N435" s="5"/>
    </row>
    <row r="436" spans="7:14">
      <c r="G436" s="5"/>
      <c r="K436" s="5"/>
      <c r="N436" s="5"/>
    </row>
    <row r="437" spans="7:14">
      <c r="G437" s="5"/>
      <c r="K437" s="5"/>
      <c r="N437" s="5"/>
    </row>
    <row r="438" spans="7:14">
      <c r="G438" s="5"/>
      <c r="K438" s="5"/>
      <c r="N438" s="5"/>
    </row>
    <row r="439" spans="7:14">
      <c r="G439" s="5"/>
      <c r="K439" s="5"/>
      <c r="N439" s="5"/>
    </row>
    <row r="440" spans="7:14">
      <c r="G440" s="5"/>
      <c r="K440" s="5"/>
      <c r="N440" s="5"/>
    </row>
    <row r="441" spans="7:14">
      <c r="G441" s="5"/>
      <c r="K441" s="5"/>
      <c r="N441" s="5"/>
    </row>
    <row r="442" spans="7:14">
      <c r="G442" s="5"/>
      <c r="K442" s="5"/>
      <c r="N442" s="5"/>
    </row>
    <row r="443" spans="7:14">
      <c r="G443" s="5"/>
      <c r="K443" s="5"/>
      <c r="N443" s="5"/>
    </row>
    <row r="444" spans="7:14">
      <c r="G444" s="5"/>
      <c r="K444" s="5"/>
      <c r="N444" s="5"/>
    </row>
    <row r="445" spans="7:14">
      <c r="G445" s="5"/>
      <c r="K445" s="5"/>
      <c r="N445" s="5"/>
    </row>
    <row r="446" spans="7:14">
      <c r="G446" s="5"/>
      <c r="K446" s="5"/>
      <c r="N446" s="5"/>
    </row>
    <row r="447" spans="7:14">
      <c r="G447" s="5"/>
      <c r="K447" s="5"/>
      <c r="N447" s="5"/>
    </row>
    <row r="448" spans="7:14">
      <c r="G448" s="5"/>
      <c r="K448" s="5"/>
      <c r="N448" s="5"/>
    </row>
    <row r="449" spans="7:14">
      <c r="G449" s="5"/>
      <c r="K449" s="5"/>
      <c r="N449" s="5"/>
    </row>
    <row r="450" spans="7:14">
      <c r="G450" s="5"/>
      <c r="K450" s="5"/>
      <c r="N450" s="5"/>
    </row>
    <row r="451" spans="7:14">
      <c r="G451" s="5"/>
      <c r="K451" s="5"/>
      <c r="N451" s="5"/>
    </row>
    <row r="452" spans="7:14">
      <c r="G452" s="5"/>
      <c r="K452" s="5"/>
      <c r="N452" s="5"/>
    </row>
    <row r="453" spans="7:14">
      <c r="G453" s="5"/>
      <c r="K453" s="5"/>
      <c r="N453" s="5"/>
    </row>
    <row r="454" spans="7:14">
      <c r="G454" s="5"/>
      <c r="K454" s="5"/>
      <c r="N454" s="5"/>
    </row>
    <row r="455" spans="7:14">
      <c r="G455" s="5"/>
      <c r="K455" s="5"/>
      <c r="N455" s="5"/>
    </row>
    <row r="456" spans="7:14">
      <c r="G456" s="5"/>
      <c r="K456" s="5"/>
      <c r="N456" s="5"/>
    </row>
    <row r="457" spans="7:14">
      <c r="G457" s="5"/>
      <c r="K457" s="5"/>
      <c r="N457" s="5"/>
    </row>
    <row r="458" spans="7:14">
      <c r="G458" s="5"/>
      <c r="K458" s="5"/>
      <c r="N458" s="5"/>
    </row>
    <row r="459" spans="7:14">
      <c r="G459" s="5"/>
      <c r="K459" s="5"/>
      <c r="N459" s="5"/>
    </row>
    <row r="460" spans="7:14">
      <c r="G460" s="5"/>
      <c r="K460" s="5"/>
      <c r="N460" s="5"/>
    </row>
    <row r="461" spans="7:14">
      <c r="G461" s="5"/>
      <c r="K461" s="5"/>
      <c r="N461" s="5"/>
    </row>
    <row r="462" spans="7:14">
      <c r="G462" s="5"/>
      <c r="K462" s="5"/>
      <c r="N462" s="5"/>
    </row>
    <row r="463" spans="7:14">
      <c r="G463" s="5"/>
      <c r="K463" s="5"/>
      <c r="N463" s="5"/>
    </row>
    <row r="464" spans="7:14">
      <c r="G464" s="5"/>
      <c r="K464" s="5"/>
      <c r="N464" s="5"/>
    </row>
    <row r="465" spans="7:14">
      <c r="G465" s="5"/>
      <c r="K465" s="5"/>
      <c r="N465" s="5"/>
    </row>
    <row r="466" spans="7:14">
      <c r="G466" s="5"/>
      <c r="K466" s="5"/>
      <c r="N466" s="5"/>
    </row>
    <row r="467" spans="7:14">
      <c r="G467" s="5"/>
      <c r="K467" s="5"/>
      <c r="N467" s="5"/>
    </row>
    <row r="468" spans="7:14">
      <c r="G468" s="5"/>
      <c r="K468" s="5"/>
      <c r="N468" s="5"/>
    </row>
    <row r="469" spans="7:14">
      <c r="G469" s="5"/>
      <c r="K469" s="5"/>
      <c r="N469" s="5"/>
    </row>
    <row r="470" spans="7:14">
      <c r="G470" s="5"/>
      <c r="K470" s="5"/>
      <c r="N470" s="5"/>
    </row>
    <row r="471" spans="7:14">
      <c r="G471" s="5"/>
      <c r="K471" s="5"/>
      <c r="N471" s="5"/>
    </row>
    <row r="472" spans="7:14">
      <c r="G472" s="5"/>
      <c r="K472" s="5"/>
      <c r="N472" s="5"/>
    </row>
    <row r="473" spans="7:14">
      <c r="G473" s="5"/>
      <c r="K473" s="5"/>
      <c r="N473" s="5"/>
    </row>
    <row r="474" spans="7:14">
      <c r="G474" s="5"/>
      <c r="K474" s="5"/>
      <c r="N474" s="5"/>
    </row>
    <row r="475" spans="7:14">
      <c r="G475" s="5"/>
      <c r="K475" s="5"/>
      <c r="N475" s="5"/>
    </row>
    <row r="476" spans="7:14">
      <c r="G476" s="5"/>
      <c r="K476" s="5"/>
      <c r="N476" s="5"/>
    </row>
    <row r="477" spans="7:14">
      <c r="G477" s="5"/>
      <c r="K477" s="5"/>
      <c r="N477" s="5"/>
    </row>
    <row r="478" spans="7:14">
      <c r="G478" s="5"/>
      <c r="K478" s="5"/>
      <c r="N478" s="5"/>
    </row>
    <row r="479" spans="7:14">
      <c r="G479" s="5"/>
      <c r="K479" s="5"/>
      <c r="N479" s="5"/>
    </row>
    <row r="480" spans="7:14">
      <c r="G480" s="5"/>
      <c r="K480" s="5"/>
      <c r="N480" s="5"/>
    </row>
    <row r="481" spans="7:14">
      <c r="G481" s="5"/>
      <c r="K481" s="5"/>
      <c r="N481" s="5"/>
    </row>
    <row r="482" spans="7:14">
      <c r="G482" s="5"/>
      <c r="K482" s="5"/>
      <c r="N482" s="5"/>
    </row>
    <row r="483" spans="7:14">
      <c r="G483" s="5"/>
      <c r="K483" s="5"/>
      <c r="N483" s="5"/>
    </row>
    <row r="484" spans="7:14">
      <c r="G484" s="5"/>
      <c r="K484" s="5"/>
      <c r="N484" s="5"/>
    </row>
    <row r="485" spans="7:14">
      <c r="G485" s="5"/>
      <c r="K485" s="5"/>
      <c r="N485" s="5"/>
    </row>
    <row r="486" spans="7:14">
      <c r="G486" s="5"/>
      <c r="K486" s="5"/>
      <c r="N486" s="5"/>
    </row>
    <row r="487" spans="7:14">
      <c r="G487" s="5"/>
      <c r="K487" s="5"/>
      <c r="N487" s="5"/>
    </row>
    <row r="488" spans="7:14">
      <c r="G488" s="5"/>
      <c r="K488" s="5"/>
      <c r="N488" s="5"/>
    </row>
    <row r="489" spans="7:14">
      <c r="G489" s="5"/>
      <c r="K489" s="5"/>
      <c r="N489" s="5"/>
    </row>
    <row r="490" spans="7:14">
      <c r="G490" s="5"/>
      <c r="K490" s="5"/>
      <c r="N490" s="5"/>
    </row>
    <row r="491" spans="7:14">
      <c r="G491" s="5"/>
      <c r="K491" s="5"/>
      <c r="N491" s="5"/>
    </row>
    <row r="492" spans="7:14">
      <c r="G492" s="5"/>
      <c r="K492" s="5"/>
      <c r="N492" s="5"/>
    </row>
    <row r="493" spans="7:14">
      <c r="G493" s="5"/>
      <c r="K493" s="5"/>
      <c r="N493" s="5"/>
    </row>
    <row r="494" spans="7:14">
      <c r="G494" s="5"/>
      <c r="K494" s="5"/>
      <c r="N494" s="5"/>
    </row>
    <row r="495" spans="7:14">
      <c r="G495" s="5"/>
      <c r="K495" s="5"/>
      <c r="N495" s="5"/>
    </row>
    <row r="496" spans="7:14">
      <c r="G496" s="5"/>
      <c r="K496" s="5"/>
      <c r="N496" s="5"/>
    </row>
    <row r="497" spans="7:14">
      <c r="G497" s="5"/>
      <c r="K497" s="5"/>
      <c r="N497" s="5"/>
    </row>
    <row r="498" spans="7:14">
      <c r="G498" s="5"/>
      <c r="K498" s="5"/>
      <c r="N498" s="5"/>
    </row>
    <row r="499" spans="7:14">
      <c r="G499" s="5"/>
      <c r="K499" s="5"/>
      <c r="N499" s="5"/>
    </row>
    <row r="500" spans="7:14">
      <c r="G500" s="5"/>
      <c r="K500" s="5"/>
      <c r="N500" s="5"/>
    </row>
  </sheetData>
  <mergeCells count="2">
    <mergeCell ref="A1:O1"/>
    <mergeCell ref="A2:O2"/>
  </mergeCells>
  <conditionalFormatting sqref="E4:E500">
    <cfRule type="expression" dxfId="35" priority="1">
      <formula>OR($E4="Blocked",$E4="Needs Action")</formula>
    </cfRule>
    <cfRule type="expression" dxfId="34" priority="2">
      <formula>OR($E4="Waiting on Others",$E4="Pending",$E4="Under Review")</formula>
    </cfRule>
    <cfRule type="expression" dxfId="33" priority="3">
      <formula>OR($E4="In Progress",$E4="Starts 20 May")</formula>
    </cfRule>
    <cfRule type="expression" dxfId="32" priority="4">
      <formula>OR($E4="Complete",$E4="Ready",$E4="Complete / Under Review")</formula>
    </cfRule>
  </conditionalFormatting>
  <conditionalFormatting sqref="L4:L500">
    <cfRule type="expression" dxfId="31" priority="5">
      <formula>$L4="No"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Lists!$A$4:$A$18</xm:f>
          </x14:formula1>
          <xm:sqref>E4:E500</xm:sqref>
        </x14:dataValidation>
        <x14:dataValidation type="list" xr:uid="{00000000-0002-0000-0600-000001000000}">
          <x14:formula1>
            <xm:f>Lists!$B$4:$B$7</xm:f>
          </x14:formula1>
          <xm:sqref>F4:F500</xm:sqref>
        </x14:dataValidation>
        <x14:dataValidation type="list" xr:uid="{00000000-0002-0000-0600-000002000000}">
          <x14:formula1>
            <xm:f>Lists!$E$4:$E$5</xm:f>
          </x14:formula1>
          <xm:sqref>L4:L500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500"/>
  <sheetViews>
    <sheetView workbookViewId="0">
      <selection activeCell="G6" sqref="G6"/>
    </sheetView>
  </sheetViews>
  <sheetFormatPr defaultRowHeight="14"/>
  <cols>
    <col min="1" max="2" width="18" customWidth="1"/>
    <col min="3" max="3" width="14" customWidth="1"/>
    <col min="4" max="6" width="16" customWidth="1"/>
    <col min="7" max="7" width="14" customWidth="1"/>
    <col min="8" max="8" width="16" customWidth="1"/>
    <col min="9" max="9" width="38" customWidth="1"/>
    <col min="10" max="12" width="16" customWidth="1"/>
    <col min="13" max="15" width="14" customWidth="1"/>
    <col min="16" max="16" width="38" customWidth="1"/>
  </cols>
  <sheetData>
    <row r="1" spans="1:16" ht="20">
      <c r="A1" s="7" t="s">
        <v>219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>
      <c r="A2" s="9" t="s">
        <v>106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>
      <c r="A3" s="1" t="s">
        <v>220</v>
      </c>
      <c r="B3" s="1" t="s">
        <v>107</v>
      </c>
      <c r="C3" s="1" t="s">
        <v>221</v>
      </c>
      <c r="D3" s="1" t="s">
        <v>222</v>
      </c>
      <c r="E3" s="1" t="s">
        <v>223</v>
      </c>
      <c r="F3" s="1" t="s">
        <v>224</v>
      </c>
      <c r="G3" s="1" t="s">
        <v>205</v>
      </c>
      <c r="H3" s="1" t="s">
        <v>31</v>
      </c>
      <c r="I3" s="1" t="s">
        <v>225</v>
      </c>
      <c r="J3" s="1" t="s">
        <v>226</v>
      </c>
      <c r="K3" s="1" t="s">
        <v>37</v>
      </c>
      <c r="L3" s="1" t="s">
        <v>227</v>
      </c>
      <c r="M3" s="1" t="s">
        <v>117</v>
      </c>
      <c r="N3" s="1" t="s">
        <v>118</v>
      </c>
      <c r="O3" s="1" t="s">
        <v>17</v>
      </c>
      <c r="P3" s="1" t="s">
        <v>18</v>
      </c>
    </row>
    <row r="4" spans="1:16">
      <c r="A4" s="2" t="s">
        <v>776</v>
      </c>
      <c r="B4" s="2" t="s">
        <v>513</v>
      </c>
      <c r="C4" s="4">
        <v>46149</v>
      </c>
      <c r="D4" s="2" t="s">
        <v>777</v>
      </c>
      <c r="E4" s="2" t="s">
        <v>138</v>
      </c>
      <c r="F4" s="2" t="s">
        <v>619</v>
      </c>
      <c r="G4" s="4">
        <v>46152</v>
      </c>
      <c r="H4" s="2" t="s">
        <v>86</v>
      </c>
      <c r="I4" s="2" t="s">
        <v>778</v>
      </c>
      <c r="J4" s="2" t="s">
        <v>617</v>
      </c>
      <c r="K4" s="2" t="s">
        <v>48</v>
      </c>
      <c r="L4" s="2"/>
      <c r="M4" s="2" t="s">
        <v>46</v>
      </c>
      <c r="N4" s="2">
        <v>1</v>
      </c>
      <c r="O4" s="4">
        <v>46156</v>
      </c>
      <c r="P4" s="2" t="s">
        <v>779</v>
      </c>
    </row>
    <row r="5" spans="1:16">
      <c r="A5" s="2" t="s">
        <v>780</v>
      </c>
      <c r="B5" s="2" t="s">
        <v>513</v>
      </c>
      <c r="C5" s="4">
        <v>46149</v>
      </c>
      <c r="D5" s="2" t="s">
        <v>781</v>
      </c>
      <c r="E5" s="2" t="s">
        <v>138</v>
      </c>
      <c r="F5" s="2" t="s">
        <v>624</v>
      </c>
      <c r="G5" s="4">
        <v>46152</v>
      </c>
      <c r="H5" s="2" t="s">
        <v>52</v>
      </c>
      <c r="I5" s="2" t="s">
        <v>782</v>
      </c>
      <c r="J5" s="2" t="s">
        <v>623</v>
      </c>
      <c r="K5" s="2" t="s">
        <v>48</v>
      </c>
      <c r="L5" s="2"/>
      <c r="M5" s="2" t="s">
        <v>46</v>
      </c>
      <c r="N5" s="2">
        <v>2</v>
      </c>
      <c r="O5" s="4">
        <v>46156</v>
      </c>
      <c r="P5" s="2" t="s">
        <v>779</v>
      </c>
    </row>
    <row r="6" spans="1:16">
      <c r="A6" s="2" t="s">
        <v>783</v>
      </c>
      <c r="B6" s="2" t="s">
        <v>515</v>
      </c>
      <c r="C6" s="4">
        <v>46152</v>
      </c>
      <c r="D6" s="2" t="s">
        <v>784</v>
      </c>
      <c r="E6" s="2" t="s">
        <v>785</v>
      </c>
      <c r="F6" s="2" t="s">
        <v>634</v>
      </c>
      <c r="G6" s="4">
        <v>46155</v>
      </c>
      <c r="H6" s="2" t="s">
        <v>86</v>
      </c>
      <c r="I6" s="2" t="s">
        <v>786</v>
      </c>
      <c r="J6" s="2" t="s">
        <v>632</v>
      </c>
      <c r="K6" s="2" t="s">
        <v>67</v>
      </c>
      <c r="L6" s="2"/>
      <c r="M6" s="2" t="s">
        <v>46</v>
      </c>
      <c r="N6" s="2">
        <v>1</v>
      </c>
      <c r="O6" s="4">
        <v>46156</v>
      </c>
      <c r="P6" s="2" t="s">
        <v>787</v>
      </c>
    </row>
    <row r="7" spans="1:16">
      <c r="A7" s="2"/>
      <c r="B7" s="2"/>
      <c r="C7" s="4"/>
      <c r="D7" s="2"/>
      <c r="E7" s="2"/>
      <c r="F7" s="2"/>
      <c r="G7" s="4"/>
      <c r="H7" s="2"/>
      <c r="I7" s="2"/>
      <c r="J7" s="2"/>
      <c r="K7" s="2"/>
      <c r="L7" s="2"/>
      <c r="M7" s="2"/>
      <c r="N7" s="2"/>
      <c r="O7" s="4"/>
      <c r="P7" s="2"/>
    </row>
    <row r="8" spans="1:16">
      <c r="A8" s="2" t="s">
        <v>788</v>
      </c>
      <c r="B8" s="2" t="s">
        <v>518</v>
      </c>
      <c r="C8" s="4">
        <v>46156</v>
      </c>
      <c r="D8" s="2" t="s">
        <v>789</v>
      </c>
      <c r="E8" s="2" t="s">
        <v>790</v>
      </c>
      <c r="F8" s="2" t="s">
        <v>646</v>
      </c>
      <c r="G8" s="4">
        <v>46157</v>
      </c>
      <c r="H8" s="2" t="s">
        <v>98</v>
      </c>
      <c r="I8" s="2" t="s">
        <v>791</v>
      </c>
      <c r="J8" s="2" t="s">
        <v>645</v>
      </c>
      <c r="K8" s="2" t="s">
        <v>48</v>
      </c>
      <c r="L8" s="2"/>
      <c r="M8" s="2" t="s">
        <v>46</v>
      </c>
      <c r="N8" s="2">
        <v>1</v>
      </c>
      <c r="O8" s="4">
        <v>46156</v>
      </c>
      <c r="P8" s="2" t="s">
        <v>792</v>
      </c>
    </row>
    <row r="9" spans="1:16">
      <c r="A9" s="2" t="s">
        <v>793</v>
      </c>
      <c r="B9" s="2" t="s">
        <v>518</v>
      </c>
      <c r="C9" s="4">
        <v>46156</v>
      </c>
      <c r="D9" s="2" t="s">
        <v>794</v>
      </c>
      <c r="E9" s="2" t="s">
        <v>121</v>
      </c>
      <c r="F9" s="2" t="s">
        <v>674</v>
      </c>
      <c r="G9" s="4">
        <v>46157</v>
      </c>
      <c r="H9" s="2" t="s">
        <v>96</v>
      </c>
      <c r="I9" s="2" t="s">
        <v>795</v>
      </c>
      <c r="J9" s="2" t="s">
        <v>645</v>
      </c>
      <c r="K9" s="2" t="s">
        <v>48</v>
      </c>
      <c r="L9" s="2"/>
      <c r="M9" s="2" t="s">
        <v>46</v>
      </c>
      <c r="N9" s="2">
        <v>2</v>
      </c>
      <c r="O9" s="4">
        <v>46156</v>
      </c>
      <c r="P9" s="2" t="s">
        <v>796</v>
      </c>
    </row>
    <row r="10" spans="1:16">
      <c r="A10" s="2" t="s">
        <v>797</v>
      </c>
      <c r="B10" s="2" t="s">
        <v>518</v>
      </c>
      <c r="C10" s="4">
        <v>46156</v>
      </c>
      <c r="D10" s="2" t="s">
        <v>798</v>
      </c>
      <c r="E10" s="2" t="s">
        <v>169</v>
      </c>
      <c r="F10" s="2" t="s">
        <v>799</v>
      </c>
      <c r="G10" s="4">
        <v>46161</v>
      </c>
      <c r="H10" s="2" t="s">
        <v>800</v>
      </c>
      <c r="I10" s="2" t="s">
        <v>801</v>
      </c>
      <c r="J10" s="2" t="s">
        <v>652</v>
      </c>
      <c r="K10" s="2" t="s">
        <v>48</v>
      </c>
      <c r="L10" s="2"/>
      <c r="M10" s="2" t="s">
        <v>46</v>
      </c>
      <c r="N10" s="2">
        <v>3</v>
      </c>
      <c r="O10" s="4">
        <v>46156</v>
      </c>
      <c r="P10" s="2" t="s">
        <v>802</v>
      </c>
    </row>
    <row r="11" spans="1:16">
      <c r="A11" s="2"/>
      <c r="B11" s="2"/>
      <c r="C11" s="4"/>
      <c r="D11" s="2"/>
      <c r="E11" s="2"/>
      <c r="F11" s="2"/>
      <c r="G11" s="4"/>
      <c r="H11" s="2"/>
      <c r="I11" s="2"/>
      <c r="J11" s="2"/>
      <c r="K11" s="2"/>
      <c r="L11" s="2"/>
      <c r="M11" s="2"/>
      <c r="N11" s="2"/>
      <c r="O11" s="4"/>
      <c r="P11" s="2"/>
    </row>
    <row r="12" spans="1:16">
      <c r="A12" s="2" t="s">
        <v>803</v>
      </c>
      <c r="B12" s="2" t="s">
        <v>520</v>
      </c>
      <c r="C12" s="4">
        <v>46156</v>
      </c>
      <c r="D12" s="2" t="s">
        <v>804</v>
      </c>
      <c r="E12" s="2" t="s">
        <v>805</v>
      </c>
      <c r="F12" s="2" t="s">
        <v>806</v>
      </c>
      <c r="G12" s="4">
        <v>46157</v>
      </c>
      <c r="H12" s="2" t="s">
        <v>71</v>
      </c>
      <c r="I12" s="2" t="s">
        <v>807</v>
      </c>
      <c r="J12" s="2" t="s">
        <v>654</v>
      </c>
      <c r="K12" s="2" t="s">
        <v>48</v>
      </c>
      <c r="L12" s="2"/>
      <c r="M12" s="2" t="s">
        <v>46</v>
      </c>
      <c r="N12" s="2">
        <v>1</v>
      </c>
      <c r="O12" s="4">
        <v>46156</v>
      </c>
      <c r="P12" s="2" t="s">
        <v>554</v>
      </c>
    </row>
    <row r="13" spans="1:16">
      <c r="A13" s="2" t="s">
        <v>808</v>
      </c>
      <c r="B13" s="2" t="s">
        <v>520</v>
      </c>
      <c r="C13" s="4">
        <v>46156</v>
      </c>
      <c r="D13" s="2" t="s">
        <v>809</v>
      </c>
      <c r="E13" s="2" t="s">
        <v>805</v>
      </c>
      <c r="F13" s="2" t="s">
        <v>810</v>
      </c>
      <c r="G13" s="4">
        <v>46157</v>
      </c>
      <c r="H13" s="2" t="s">
        <v>80</v>
      </c>
      <c r="I13" s="2" t="s">
        <v>811</v>
      </c>
      <c r="J13" s="2" t="s">
        <v>654</v>
      </c>
      <c r="K13" s="2" t="s">
        <v>48</v>
      </c>
      <c r="L13" s="2"/>
      <c r="M13" s="2" t="s">
        <v>46</v>
      </c>
      <c r="N13" s="2">
        <v>2</v>
      </c>
      <c r="O13" s="4">
        <v>46156</v>
      </c>
      <c r="P13" s="2" t="s">
        <v>812</v>
      </c>
    </row>
    <row r="14" spans="1:16">
      <c r="A14" s="2" t="s">
        <v>813</v>
      </c>
      <c r="B14" s="2" t="s">
        <v>520</v>
      </c>
      <c r="C14" s="4">
        <v>46156</v>
      </c>
      <c r="D14" s="2" t="s">
        <v>814</v>
      </c>
      <c r="E14" s="2" t="s">
        <v>169</v>
      </c>
      <c r="F14" s="2" t="s">
        <v>282</v>
      </c>
      <c r="G14" s="4">
        <v>46161</v>
      </c>
      <c r="H14" s="2" t="s">
        <v>800</v>
      </c>
      <c r="I14" s="2" t="s">
        <v>815</v>
      </c>
      <c r="J14" s="2" t="s">
        <v>663</v>
      </c>
      <c r="K14" s="2" t="s">
        <v>48</v>
      </c>
      <c r="L14" s="2"/>
      <c r="M14" s="2" t="s">
        <v>46</v>
      </c>
      <c r="N14" s="2">
        <v>3</v>
      </c>
      <c r="O14" s="4">
        <v>46156</v>
      </c>
      <c r="P14" s="2" t="s">
        <v>802</v>
      </c>
    </row>
    <row r="15" spans="1:16">
      <c r="A15" s="2"/>
      <c r="B15" s="2"/>
      <c r="C15" s="4"/>
      <c r="D15" s="2"/>
      <c r="E15" s="2"/>
      <c r="F15" s="2"/>
      <c r="G15" s="4"/>
      <c r="H15" s="2"/>
      <c r="I15" s="2"/>
      <c r="J15" s="2"/>
      <c r="K15" s="2"/>
      <c r="L15" s="2"/>
      <c r="M15" s="2"/>
      <c r="N15" s="2"/>
      <c r="O15" s="4"/>
      <c r="P15" s="2"/>
    </row>
    <row r="16" spans="1:16">
      <c r="A16" s="2" t="s">
        <v>816</v>
      </c>
      <c r="B16" s="2" t="s">
        <v>522</v>
      </c>
      <c r="C16" s="4">
        <v>46150</v>
      </c>
      <c r="D16" s="2" t="s">
        <v>817</v>
      </c>
      <c r="E16" s="2" t="s">
        <v>818</v>
      </c>
      <c r="F16" s="2" t="s">
        <v>674</v>
      </c>
      <c r="G16" s="4">
        <v>46162</v>
      </c>
      <c r="H16" s="2" t="s">
        <v>80</v>
      </c>
      <c r="I16" s="2" t="s">
        <v>819</v>
      </c>
      <c r="J16" s="2" t="s">
        <v>682</v>
      </c>
      <c r="K16" s="2" t="s">
        <v>48</v>
      </c>
      <c r="L16" s="2"/>
      <c r="M16" s="2" t="s">
        <v>46</v>
      </c>
      <c r="N16" s="2">
        <v>1</v>
      </c>
      <c r="O16" s="4">
        <v>46156</v>
      </c>
      <c r="P16" s="2" t="s">
        <v>579</v>
      </c>
    </row>
    <row r="17" spans="1:16">
      <c r="A17" s="2" t="s">
        <v>820</v>
      </c>
      <c r="B17" s="2" t="s">
        <v>522</v>
      </c>
      <c r="C17" s="4">
        <v>46156</v>
      </c>
      <c r="D17" s="2" t="s">
        <v>821</v>
      </c>
      <c r="E17" s="2" t="s">
        <v>169</v>
      </c>
      <c r="F17" s="2" t="s">
        <v>218</v>
      </c>
      <c r="G17" s="4">
        <v>46162</v>
      </c>
      <c r="H17" s="2" t="s">
        <v>52</v>
      </c>
      <c r="I17" s="2" t="s">
        <v>822</v>
      </c>
      <c r="J17" s="2" t="s">
        <v>672</v>
      </c>
      <c r="K17" s="2" t="s">
        <v>653</v>
      </c>
      <c r="L17" s="2"/>
      <c r="M17" s="2" t="s">
        <v>46</v>
      </c>
      <c r="N17" s="2">
        <v>2</v>
      </c>
      <c r="O17" s="4">
        <v>46156</v>
      </c>
      <c r="P17" s="2"/>
    </row>
    <row r="18" spans="1:16">
      <c r="A18" s="2"/>
      <c r="B18" s="2"/>
      <c r="C18" s="4"/>
      <c r="D18" s="2"/>
      <c r="E18" s="2"/>
      <c r="F18" s="2"/>
      <c r="G18" s="4"/>
      <c r="H18" s="2"/>
      <c r="I18" s="2"/>
      <c r="J18" s="2"/>
      <c r="K18" s="2"/>
      <c r="L18" s="2"/>
      <c r="M18" s="2"/>
      <c r="N18" s="2"/>
      <c r="O18" s="4"/>
      <c r="P18" s="2"/>
    </row>
    <row r="19" spans="1:16">
      <c r="A19" s="2" t="s">
        <v>823</v>
      </c>
      <c r="B19" s="2" t="s">
        <v>524</v>
      </c>
      <c r="C19" s="4">
        <v>46150</v>
      </c>
      <c r="D19" s="2" t="s">
        <v>824</v>
      </c>
      <c r="E19" s="2" t="s">
        <v>825</v>
      </c>
      <c r="F19" s="2" t="s">
        <v>826</v>
      </c>
      <c r="G19" s="4">
        <v>46157</v>
      </c>
      <c r="H19" s="2" t="s">
        <v>62</v>
      </c>
      <c r="I19" s="2" t="s">
        <v>827</v>
      </c>
      <c r="J19" s="2" t="s">
        <v>692</v>
      </c>
      <c r="K19" s="2" t="s">
        <v>48</v>
      </c>
      <c r="L19" s="2"/>
      <c r="M19" s="2" t="s">
        <v>46</v>
      </c>
      <c r="N19" s="2">
        <v>1</v>
      </c>
      <c r="O19" s="4">
        <v>46156</v>
      </c>
      <c r="P19" s="2" t="s">
        <v>828</v>
      </c>
    </row>
    <row r="20" spans="1:16">
      <c r="A20" s="2" t="s">
        <v>829</v>
      </c>
      <c r="B20" s="2" t="s">
        <v>526</v>
      </c>
      <c r="C20" s="4">
        <v>46156</v>
      </c>
      <c r="D20" s="2" t="s">
        <v>830</v>
      </c>
      <c r="E20" s="2" t="s">
        <v>134</v>
      </c>
      <c r="F20" s="2" t="s">
        <v>629</v>
      </c>
      <c r="G20" s="4">
        <v>46161</v>
      </c>
      <c r="H20" s="2" t="s">
        <v>62</v>
      </c>
      <c r="I20" s="2" t="s">
        <v>831</v>
      </c>
      <c r="J20" s="2" t="s">
        <v>703</v>
      </c>
      <c r="K20" s="2" t="s">
        <v>653</v>
      </c>
      <c r="L20" s="2"/>
      <c r="M20" s="2" t="s">
        <v>46</v>
      </c>
      <c r="N20" s="2">
        <v>1</v>
      </c>
      <c r="O20" s="4">
        <v>46156</v>
      </c>
      <c r="P20" s="2" t="s">
        <v>832</v>
      </c>
    </row>
    <row r="21" spans="1:16">
      <c r="A21" s="2"/>
      <c r="B21" s="2"/>
      <c r="C21" s="4"/>
      <c r="D21" s="2"/>
      <c r="E21" s="2"/>
      <c r="F21" s="2"/>
      <c r="G21" s="4"/>
      <c r="H21" s="2"/>
      <c r="I21" s="2"/>
      <c r="J21" s="2"/>
      <c r="K21" s="2"/>
      <c r="L21" s="2"/>
      <c r="M21" s="2"/>
      <c r="N21" s="2"/>
      <c r="O21" s="4"/>
      <c r="P21" s="2"/>
    </row>
    <row r="22" spans="1:16">
      <c r="A22" s="2" t="s">
        <v>833</v>
      </c>
      <c r="B22" s="2" t="s">
        <v>529</v>
      </c>
      <c r="C22" s="4">
        <v>46156</v>
      </c>
      <c r="D22" s="2" t="s">
        <v>834</v>
      </c>
      <c r="E22" s="2" t="s">
        <v>835</v>
      </c>
      <c r="F22" s="2" t="s">
        <v>836</v>
      </c>
      <c r="G22" s="4">
        <v>46157</v>
      </c>
      <c r="H22" s="2" t="s">
        <v>62</v>
      </c>
      <c r="I22" s="2" t="s">
        <v>837</v>
      </c>
      <c r="J22" s="2" t="s">
        <v>713</v>
      </c>
      <c r="K22" s="2" t="s">
        <v>48</v>
      </c>
      <c r="L22" s="2"/>
      <c r="M22" s="2" t="s">
        <v>46</v>
      </c>
      <c r="N22" s="2">
        <v>1</v>
      </c>
      <c r="O22" s="4">
        <v>46156</v>
      </c>
      <c r="P22" s="2" t="s">
        <v>838</v>
      </c>
    </row>
    <row r="23" spans="1:16">
      <c r="A23" s="2" t="s">
        <v>839</v>
      </c>
      <c r="B23" s="2" t="s">
        <v>529</v>
      </c>
      <c r="C23" s="4">
        <v>46156</v>
      </c>
      <c r="D23" s="2" t="s">
        <v>840</v>
      </c>
      <c r="E23" s="2" t="s">
        <v>835</v>
      </c>
      <c r="F23" s="2" t="s">
        <v>629</v>
      </c>
      <c r="G23" s="4" t="s">
        <v>72</v>
      </c>
      <c r="H23" s="2" t="s">
        <v>80</v>
      </c>
      <c r="I23" s="2" t="s">
        <v>841</v>
      </c>
      <c r="J23" s="2" t="s">
        <v>724</v>
      </c>
      <c r="K23" s="2" t="s">
        <v>48</v>
      </c>
      <c r="L23" s="2"/>
      <c r="M23" s="2" t="s">
        <v>46</v>
      </c>
      <c r="N23" s="2">
        <v>2</v>
      </c>
      <c r="O23" s="4">
        <v>46156</v>
      </c>
      <c r="P23" s="2" t="s">
        <v>842</v>
      </c>
    </row>
    <row r="24" spans="1:16">
      <c r="A24" s="2" t="s">
        <v>843</v>
      </c>
      <c r="B24" s="2" t="s">
        <v>529</v>
      </c>
      <c r="C24" s="4">
        <v>46156</v>
      </c>
      <c r="D24" s="2" t="s">
        <v>844</v>
      </c>
      <c r="E24" s="2" t="s">
        <v>835</v>
      </c>
      <c r="F24" s="2" t="s">
        <v>629</v>
      </c>
      <c r="G24" s="4" t="s">
        <v>72</v>
      </c>
      <c r="H24" s="2" t="s">
        <v>62</v>
      </c>
      <c r="I24" s="2" t="s">
        <v>845</v>
      </c>
      <c r="J24" s="2" t="s">
        <v>729</v>
      </c>
      <c r="K24" s="2" t="s">
        <v>48</v>
      </c>
      <c r="L24" s="2"/>
      <c r="M24" s="2" t="s">
        <v>46</v>
      </c>
      <c r="N24" s="2">
        <v>3</v>
      </c>
      <c r="O24" s="4">
        <v>46156</v>
      </c>
      <c r="P24" s="2" t="s">
        <v>846</v>
      </c>
    </row>
    <row r="25" spans="1:16">
      <c r="A25" s="2"/>
      <c r="B25" s="2"/>
      <c r="C25" s="4"/>
      <c r="D25" s="2"/>
      <c r="E25" s="2"/>
      <c r="F25" s="2"/>
      <c r="G25" s="4"/>
      <c r="H25" s="2"/>
      <c r="I25" s="2"/>
      <c r="J25" s="2"/>
      <c r="K25" s="2"/>
      <c r="L25" s="2"/>
      <c r="M25" s="2"/>
      <c r="N25" s="2"/>
      <c r="O25" s="4"/>
      <c r="P25" s="2"/>
    </row>
    <row r="26" spans="1:16">
      <c r="A26" s="2" t="s">
        <v>847</v>
      </c>
      <c r="B26" s="2" t="s">
        <v>530</v>
      </c>
      <c r="C26" s="4">
        <v>46156</v>
      </c>
      <c r="D26" s="2" t="s">
        <v>848</v>
      </c>
      <c r="E26" s="2" t="s">
        <v>305</v>
      </c>
      <c r="F26" s="2" t="s">
        <v>614</v>
      </c>
      <c r="G26" s="4">
        <v>46157</v>
      </c>
      <c r="H26" s="2" t="s">
        <v>62</v>
      </c>
      <c r="I26" s="2" t="s">
        <v>849</v>
      </c>
      <c r="J26" s="2" t="s">
        <v>733</v>
      </c>
      <c r="K26" s="2" t="s">
        <v>48</v>
      </c>
      <c r="L26" s="2"/>
      <c r="M26" s="2" t="s">
        <v>46</v>
      </c>
      <c r="N26" s="2">
        <v>1</v>
      </c>
      <c r="O26" s="4">
        <v>46156</v>
      </c>
      <c r="P26" s="2" t="s">
        <v>850</v>
      </c>
    </row>
    <row r="27" spans="1:16">
      <c r="A27" s="2" t="s">
        <v>851</v>
      </c>
      <c r="B27" s="2" t="s">
        <v>530</v>
      </c>
      <c r="C27" s="4">
        <v>46156</v>
      </c>
      <c r="D27" s="2" t="s">
        <v>852</v>
      </c>
      <c r="E27" s="2" t="s">
        <v>305</v>
      </c>
      <c r="F27" s="2" t="s">
        <v>715</v>
      </c>
      <c r="G27" s="4">
        <v>46157</v>
      </c>
      <c r="H27" s="2" t="s">
        <v>62</v>
      </c>
      <c r="I27" s="2" t="s">
        <v>853</v>
      </c>
      <c r="J27" s="2" t="s">
        <v>737</v>
      </c>
      <c r="K27" s="2" t="s">
        <v>48</v>
      </c>
      <c r="L27" s="2"/>
      <c r="M27" s="2" t="s">
        <v>46</v>
      </c>
      <c r="N27" s="2">
        <v>2</v>
      </c>
      <c r="O27" s="4">
        <v>46156</v>
      </c>
      <c r="P27" s="2" t="s">
        <v>854</v>
      </c>
    </row>
    <row r="28" spans="1:16">
      <c r="A28" s="2" t="s">
        <v>855</v>
      </c>
      <c r="B28" s="2" t="s">
        <v>530</v>
      </c>
      <c r="C28" s="4">
        <v>46156</v>
      </c>
      <c r="D28" s="2" t="s">
        <v>856</v>
      </c>
      <c r="E28" s="2" t="s">
        <v>305</v>
      </c>
      <c r="F28" s="2" t="s">
        <v>629</v>
      </c>
      <c r="G28" s="4" t="s">
        <v>72</v>
      </c>
      <c r="H28" s="2" t="s">
        <v>52</v>
      </c>
      <c r="I28" s="2" t="s">
        <v>857</v>
      </c>
      <c r="J28" s="2" t="s">
        <v>746</v>
      </c>
      <c r="K28" s="2" t="s">
        <v>48</v>
      </c>
      <c r="L28" s="2"/>
      <c r="M28" s="2" t="s">
        <v>46</v>
      </c>
      <c r="N28" s="2">
        <v>3</v>
      </c>
      <c r="O28" s="4">
        <v>46156</v>
      </c>
      <c r="P28" s="2"/>
    </row>
    <row r="29" spans="1:16">
      <c r="A29" s="2"/>
      <c r="B29" s="2"/>
      <c r="C29" s="4"/>
      <c r="D29" s="2"/>
      <c r="E29" s="2"/>
      <c r="F29" s="2"/>
      <c r="G29" s="4"/>
      <c r="H29" s="2"/>
      <c r="I29" s="2"/>
      <c r="J29" s="2"/>
      <c r="K29" s="2"/>
      <c r="L29" s="2"/>
      <c r="M29" s="2"/>
      <c r="N29" s="2"/>
      <c r="O29" s="4"/>
      <c r="P29" s="2"/>
    </row>
    <row r="30" spans="1:16">
      <c r="A30" s="2" t="s">
        <v>858</v>
      </c>
      <c r="B30" s="2" t="s">
        <v>534</v>
      </c>
      <c r="C30" s="4">
        <v>46155</v>
      </c>
      <c r="D30" s="2" t="s">
        <v>859</v>
      </c>
      <c r="E30" s="2" t="s">
        <v>860</v>
      </c>
      <c r="F30" s="2" t="s">
        <v>169</v>
      </c>
      <c r="G30" s="4"/>
      <c r="H30" s="2" t="s">
        <v>316</v>
      </c>
      <c r="I30" s="2" t="s">
        <v>861</v>
      </c>
      <c r="J30" s="2" t="s">
        <v>748</v>
      </c>
      <c r="K30" s="2" t="s">
        <v>48</v>
      </c>
      <c r="L30" s="2"/>
      <c r="M30" s="2" t="s">
        <v>56</v>
      </c>
      <c r="N30" s="2">
        <v>1</v>
      </c>
      <c r="O30" s="4">
        <v>46156</v>
      </c>
      <c r="P30" s="2" t="s">
        <v>862</v>
      </c>
    </row>
    <row r="31" spans="1:16">
      <c r="A31" s="2" t="s">
        <v>863</v>
      </c>
      <c r="B31" s="2" t="s">
        <v>534</v>
      </c>
      <c r="C31" s="4">
        <v>46155</v>
      </c>
      <c r="D31" s="2" t="s">
        <v>864</v>
      </c>
      <c r="E31" s="2" t="s">
        <v>860</v>
      </c>
      <c r="F31" s="2" t="s">
        <v>311</v>
      </c>
      <c r="G31" s="4" t="s">
        <v>753</v>
      </c>
      <c r="H31" s="2" t="s">
        <v>316</v>
      </c>
      <c r="I31" s="2" t="s">
        <v>865</v>
      </c>
      <c r="J31" s="2" t="s">
        <v>751</v>
      </c>
      <c r="K31" s="2" t="s">
        <v>48</v>
      </c>
      <c r="L31" s="2"/>
      <c r="M31" s="2" t="s">
        <v>56</v>
      </c>
      <c r="N31" s="2">
        <v>2</v>
      </c>
      <c r="O31" s="4">
        <v>46156</v>
      </c>
      <c r="P31" s="2" t="s">
        <v>866</v>
      </c>
    </row>
    <row r="32" spans="1:16">
      <c r="A32" s="2"/>
      <c r="B32" s="2"/>
      <c r="C32" s="4"/>
      <c r="D32" s="2"/>
      <c r="E32" s="2"/>
      <c r="F32" s="2"/>
      <c r="G32" s="4"/>
      <c r="H32" s="2"/>
      <c r="I32" s="2"/>
      <c r="J32" s="2"/>
      <c r="K32" s="2"/>
      <c r="L32" s="2"/>
      <c r="M32" s="2"/>
      <c r="N32" s="2"/>
      <c r="O32" s="4"/>
      <c r="P32" s="2"/>
    </row>
    <row r="33" spans="1:16">
      <c r="A33" s="2" t="s">
        <v>867</v>
      </c>
      <c r="B33" s="2"/>
      <c r="C33" s="4">
        <v>46156</v>
      </c>
      <c r="D33" s="2" t="s">
        <v>868</v>
      </c>
      <c r="E33" s="2" t="s">
        <v>869</v>
      </c>
      <c r="F33" s="2" t="s">
        <v>169</v>
      </c>
      <c r="G33" s="4">
        <v>46157</v>
      </c>
      <c r="H33" s="2" t="s">
        <v>86</v>
      </c>
      <c r="I33" s="2" t="s">
        <v>870</v>
      </c>
      <c r="J33" s="2" t="s">
        <v>756</v>
      </c>
      <c r="K33" s="2" t="s">
        <v>48</v>
      </c>
      <c r="L33" s="2"/>
      <c r="M33" s="2" t="s">
        <v>46</v>
      </c>
      <c r="N33" s="2">
        <v>99</v>
      </c>
      <c r="O33" s="4">
        <v>46156</v>
      </c>
      <c r="P33" s="2" t="s">
        <v>871</v>
      </c>
    </row>
    <row r="34" spans="1:16">
      <c r="A34" s="2" t="s">
        <v>872</v>
      </c>
      <c r="B34" s="2"/>
      <c r="C34" s="4">
        <v>46156</v>
      </c>
      <c r="D34" s="2" t="s">
        <v>873</v>
      </c>
      <c r="E34" s="2" t="s">
        <v>869</v>
      </c>
      <c r="F34" s="2" t="s">
        <v>624</v>
      </c>
      <c r="G34" s="4">
        <v>46157</v>
      </c>
      <c r="H34" s="2" t="s">
        <v>102</v>
      </c>
      <c r="I34" s="2" t="s">
        <v>874</v>
      </c>
      <c r="J34" s="2" t="s">
        <v>761</v>
      </c>
      <c r="K34" s="2" t="s">
        <v>48</v>
      </c>
      <c r="L34" s="2"/>
      <c r="M34" s="2" t="s">
        <v>46</v>
      </c>
      <c r="N34" s="2">
        <v>100</v>
      </c>
      <c r="O34" s="4">
        <v>46156</v>
      </c>
      <c r="P34" s="2" t="s">
        <v>875</v>
      </c>
    </row>
    <row r="35" spans="1:16" ht="42">
      <c r="A35" s="2" t="s">
        <v>876</v>
      </c>
      <c r="B35" s="2"/>
      <c r="C35" s="4">
        <v>46152</v>
      </c>
      <c r="D35" s="2" t="s">
        <v>877</v>
      </c>
      <c r="E35" s="2" t="s">
        <v>134</v>
      </c>
      <c r="F35" s="2" t="s">
        <v>767</v>
      </c>
      <c r="G35" s="4">
        <v>46155</v>
      </c>
      <c r="H35" s="2" t="s">
        <v>96</v>
      </c>
      <c r="I35" s="2" t="s">
        <v>878</v>
      </c>
      <c r="J35" s="2" t="s">
        <v>765</v>
      </c>
      <c r="K35" s="2" t="s">
        <v>67</v>
      </c>
      <c r="L35" s="2"/>
      <c r="M35" s="2" t="s">
        <v>46</v>
      </c>
      <c r="N35" s="2">
        <v>101</v>
      </c>
      <c r="O35" s="4">
        <v>46156</v>
      </c>
      <c r="P35" s="2" t="s">
        <v>879</v>
      </c>
    </row>
    <row r="36" spans="1:16">
      <c r="A36" s="2"/>
      <c r="B36" s="2"/>
      <c r="C36" s="4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4"/>
      <c r="P36" s="2"/>
    </row>
    <row r="37" spans="1:16">
      <c r="A37" s="2"/>
      <c r="B37" s="2"/>
      <c r="C37" s="4"/>
      <c r="D37" s="2"/>
      <c r="E37" s="2"/>
      <c r="F37" s="2"/>
      <c r="G37" s="4"/>
      <c r="H37" s="2"/>
      <c r="I37" s="2"/>
      <c r="J37" s="2"/>
      <c r="K37" s="2"/>
      <c r="L37" s="2"/>
      <c r="M37" s="2"/>
      <c r="N37" s="2"/>
      <c r="O37" s="4"/>
      <c r="P37" s="2"/>
    </row>
    <row r="38" spans="1:16">
      <c r="A38" s="2"/>
      <c r="B38" s="2"/>
      <c r="C38" s="4"/>
      <c r="D38" s="2"/>
      <c r="E38" s="2"/>
      <c r="F38" s="2"/>
      <c r="G38" s="4"/>
      <c r="H38" s="2"/>
      <c r="I38" s="2"/>
      <c r="J38" s="2"/>
      <c r="K38" s="2"/>
      <c r="L38" s="2"/>
      <c r="M38" s="2"/>
      <c r="N38" s="2"/>
      <c r="O38" s="4"/>
      <c r="P38" s="2"/>
    </row>
    <row r="39" spans="1:16">
      <c r="A39" s="2"/>
      <c r="B39" s="2"/>
      <c r="C39" s="4"/>
      <c r="D39" s="2"/>
      <c r="E39" s="2"/>
      <c r="F39" s="2"/>
      <c r="G39" s="4"/>
      <c r="H39" s="2"/>
      <c r="I39" s="2"/>
      <c r="J39" s="2"/>
      <c r="K39" s="2"/>
      <c r="L39" s="2"/>
      <c r="M39" s="2"/>
      <c r="N39" s="2"/>
      <c r="O39" s="4"/>
      <c r="P39" s="2"/>
    </row>
    <row r="40" spans="1:16">
      <c r="A40" s="2"/>
      <c r="B40" s="2"/>
      <c r="C40" s="4"/>
      <c r="D40" s="2"/>
      <c r="E40" s="2"/>
      <c r="F40" s="2"/>
      <c r="G40" s="4"/>
      <c r="H40" s="2"/>
      <c r="I40" s="2"/>
      <c r="J40" s="2"/>
      <c r="K40" s="2"/>
      <c r="L40" s="2"/>
      <c r="M40" s="2"/>
      <c r="N40" s="2"/>
      <c r="O40" s="4"/>
      <c r="P40" s="2"/>
    </row>
    <row r="41" spans="1:16">
      <c r="A41" s="2"/>
      <c r="B41" s="2"/>
      <c r="C41" s="4"/>
      <c r="D41" s="2"/>
      <c r="E41" s="2"/>
      <c r="F41" s="2"/>
      <c r="G41" s="4"/>
      <c r="H41" s="2"/>
      <c r="I41" s="2"/>
      <c r="J41" s="2"/>
      <c r="K41" s="2"/>
      <c r="L41" s="2"/>
      <c r="M41" s="2"/>
      <c r="N41" s="2"/>
      <c r="O41" s="4"/>
      <c r="P41" s="2"/>
    </row>
    <row r="42" spans="1:16">
      <c r="A42" s="2"/>
      <c r="B42" s="2"/>
      <c r="C42" s="4"/>
      <c r="D42" s="2"/>
      <c r="E42" s="2"/>
      <c r="F42" s="2"/>
      <c r="G42" s="4"/>
      <c r="H42" s="2"/>
      <c r="I42" s="2"/>
      <c r="J42" s="2"/>
      <c r="K42" s="2"/>
      <c r="L42" s="2"/>
      <c r="M42" s="2"/>
      <c r="N42" s="2"/>
      <c r="O42" s="4"/>
      <c r="P42" s="2"/>
    </row>
    <row r="43" spans="1:16">
      <c r="A43" s="2"/>
      <c r="B43" s="2"/>
      <c r="C43" s="4"/>
      <c r="D43" s="2"/>
      <c r="E43" s="2"/>
      <c r="F43" s="2"/>
      <c r="G43" s="4"/>
      <c r="H43" s="2"/>
      <c r="I43" s="2"/>
      <c r="J43" s="2"/>
      <c r="K43" s="2"/>
      <c r="L43" s="2"/>
      <c r="M43" s="2"/>
      <c r="N43" s="2"/>
      <c r="O43" s="4"/>
      <c r="P43" s="2"/>
    </row>
    <row r="44" spans="1:16">
      <c r="A44" s="2"/>
      <c r="B44" s="2"/>
      <c r="C44" s="4"/>
      <c r="D44" s="2"/>
      <c r="E44" s="2"/>
      <c r="F44" s="2"/>
      <c r="G44" s="4"/>
      <c r="H44" s="2"/>
      <c r="I44" s="2"/>
      <c r="J44" s="2"/>
      <c r="K44" s="2"/>
      <c r="L44" s="2"/>
      <c r="M44" s="2"/>
      <c r="N44" s="2"/>
      <c r="O44" s="4"/>
      <c r="P44" s="2"/>
    </row>
    <row r="45" spans="1:16">
      <c r="A45" s="2"/>
      <c r="B45" s="2"/>
      <c r="C45" s="4"/>
      <c r="D45" s="2"/>
      <c r="E45" s="2"/>
      <c r="F45" s="2"/>
      <c r="G45" s="4"/>
      <c r="H45" s="2"/>
      <c r="I45" s="2"/>
      <c r="J45" s="2"/>
      <c r="K45" s="2"/>
      <c r="L45" s="2"/>
      <c r="M45" s="2"/>
      <c r="N45" s="2"/>
      <c r="O45" s="4"/>
      <c r="P45" s="2"/>
    </row>
    <row r="46" spans="1:16">
      <c r="A46" s="2"/>
      <c r="B46" s="2"/>
      <c r="C46" s="4"/>
      <c r="D46" s="2"/>
      <c r="E46" s="2"/>
      <c r="F46" s="2"/>
      <c r="G46" s="4"/>
      <c r="H46" s="2"/>
      <c r="I46" s="2"/>
      <c r="J46" s="2"/>
      <c r="K46" s="2"/>
      <c r="L46" s="2"/>
      <c r="M46" s="2"/>
      <c r="N46" s="2"/>
      <c r="O46" s="4"/>
      <c r="P46" s="2"/>
    </row>
    <row r="47" spans="1:16">
      <c r="A47" s="2"/>
      <c r="B47" s="2"/>
      <c r="C47" s="4"/>
      <c r="D47" s="2"/>
      <c r="E47" s="2"/>
      <c r="F47" s="2"/>
      <c r="G47" s="4"/>
      <c r="H47" s="2"/>
      <c r="I47" s="2"/>
      <c r="J47" s="2"/>
      <c r="K47" s="2"/>
      <c r="L47" s="2"/>
      <c r="M47" s="2"/>
      <c r="N47" s="2"/>
      <c r="O47" s="4"/>
      <c r="P47" s="2"/>
    </row>
    <row r="48" spans="1:16">
      <c r="A48" s="2"/>
      <c r="B48" s="2"/>
      <c r="C48" s="4"/>
      <c r="D48" s="2"/>
      <c r="E48" s="2"/>
      <c r="F48" s="2"/>
      <c r="G48" s="4"/>
      <c r="H48" s="2"/>
      <c r="I48" s="2"/>
      <c r="J48" s="2"/>
      <c r="K48" s="2"/>
      <c r="L48" s="2"/>
      <c r="M48" s="2"/>
      <c r="N48" s="2"/>
      <c r="O48" s="4"/>
      <c r="P48" s="2"/>
    </row>
    <row r="49" spans="1:16">
      <c r="A49" s="2"/>
      <c r="B49" s="2"/>
      <c r="C49" s="4"/>
      <c r="D49" s="2"/>
      <c r="E49" s="2"/>
      <c r="F49" s="2"/>
      <c r="G49" s="4"/>
      <c r="H49" s="2"/>
      <c r="I49" s="2"/>
      <c r="J49" s="2"/>
      <c r="K49" s="2"/>
      <c r="L49" s="2"/>
      <c r="M49" s="2"/>
      <c r="N49" s="2"/>
      <c r="O49" s="4"/>
      <c r="P49" s="2"/>
    </row>
    <row r="50" spans="1:16">
      <c r="A50" s="2"/>
      <c r="B50" s="2"/>
      <c r="C50" s="4"/>
      <c r="D50" s="2"/>
      <c r="E50" s="2"/>
      <c r="F50" s="2"/>
      <c r="G50" s="4"/>
      <c r="H50" s="2"/>
      <c r="I50" s="2"/>
      <c r="J50" s="2"/>
      <c r="K50" s="2"/>
      <c r="L50" s="2"/>
      <c r="M50" s="2"/>
      <c r="N50" s="2"/>
      <c r="O50" s="4"/>
      <c r="P50" s="2"/>
    </row>
    <row r="51" spans="1:16">
      <c r="A51" s="2"/>
      <c r="B51" s="2"/>
      <c r="C51" s="4"/>
      <c r="D51" s="2"/>
      <c r="E51" s="2"/>
      <c r="F51" s="2"/>
      <c r="G51" s="4"/>
      <c r="H51" s="2"/>
      <c r="I51" s="2"/>
      <c r="J51" s="2"/>
      <c r="K51" s="2"/>
      <c r="L51" s="2"/>
      <c r="M51" s="2"/>
      <c r="N51" s="2"/>
      <c r="O51" s="4"/>
      <c r="P51" s="2"/>
    </row>
    <row r="52" spans="1:16">
      <c r="A52" s="2"/>
      <c r="B52" s="2"/>
      <c r="C52" s="4"/>
      <c r="D52" s="2"/>
      <c r="E52" s="2"/>
      <c r="F52" s="2"/>
      <c r="G52" s="4"/>
      <c r="H52" s="2"/>
      <c r="I52" s="2"/>
      <c r="J52" s="2"/>
      <c r="K52" s="2"/>
      <c r="L52" s="2"/>
      <c r="M52" s="2"/>
      <c r="N52" s="2"/>
      <c r="O52" s="4"/>
      <c r="P52" s="2"/>
    </row>
    <row r="53" spans="1:16">
      <c r="A53" s="2"/>
      <c r="B53" s="2"/>
      <c r="C53" s="4"/>
      <c r="D53" s="2"/>
      <c r="E53" s="2"/>
      <c r="F53" s="2"/>
      <c r="G53" s="4"/>
      <c r="H53" s="2"/>
      <c r="I53" s="2"/>
      <c r="J53" s="2"/>
      <c r="K53" s="2"/>
      <c r="L53" s="2"/>
      <c r="M53" s="2"/>
      <c r="N53" s="2"/>
      <c r="O53" s="4"/>
      <c r="P53" s="2"/>
    </row>
    <row r="54" spans="1:16">
      <c r="C54" s="5"/>
      <c r="G54" s="5"/>
      <c r="O54" s="5"/>
    </row>
    <row r="55" spans="1:16">
      <c r="C55" s="5"/>
      <c r="G55" s="5"/>
      <c r="O55" s="5"/>
    </row>
    <row r="56" spans="1:16">
      <c r="C56" s="5"/>
      <c r="G56" s="5"/>
      <c r="O56" s="5"/>
    </row>
    <row r="57" spans="1:16">
      <c r="C57" s="5"/>
      <c r="G57" s="5"/>
      <c r="O57" s="5"/>
    </row>
    <row r="58" spans="1:16">
      <c r="C58" s="5"/>
      <c r="G58" s="5"/>
      <c r="O58" s="5"/>
    </row>
    <row r="59" spans="1:16">
      <c r="C59" s="5"/>
      <c r="G59" s="5"/>
      <c r="O59" s="5"/>
    </row>
    <row r="60" spans="1:16">
      <c r="C60" s="5"/>
      <c r="G60" s="5"/>
      <c r="O60" s="5"/>
    </row>
    <row r="61" spans="1:16">
      <c r="C61" s="5"/>
      <c r="G61" s="5"/>
      <c r="O61" s="5"/>
    </row>
    <row r="62" spans="1:16">
      <c r="C62" s="5"/>
      <c r="G62" s="5"/>
      <c r="O62" s="5"/>
    </row>
    <row r="63" spans="1:16">
      <c r="C63" s="5"/>
      <c r="G63" s="5"/>
      <c r="O63" s="5"/>
    </row>
    <row r="64" spans="1:16">
      <c r="C64" s="5"/>
      <c r="G64" s="5"/>
      <c r="O64" s="5"/>
    </row>
    <row r="65" spans="3:15">
      <c r="C65" s="5"/>
      <c r="G65" s="5"/>
      <c r="O65" s="5"/>
    </row>
    <row r="66" spans="3:15">
      <c r="C66" s="5"/>
      <c r="G66" s="5"/>
      <c r="O66" s="5"/>
    </row>
    <row r="67" spans="3:15">
      <c r="C67" s="5"/>
      <c r="G67" s="5"/>
      <c r="O67" s="5"/>
    </row>
    <row r="68" spans="3:15">
      <c r="C68" s="5"/>
      <c r="G68" s="5"/>
      <c r="O68" s="5"/>
    </row>
    <row r="69" spans="3:15">
      <c r="C69" s="5"/>
      <c r="G69" s="5"/>
      <c r="O69" s="5"/>
    </row>
    <row r="70" spans="3:15">
      <c r="C70" s="5"/>
      <c r="G70" s="5"/>
      <c r="O70" s="5"/>
    </row>
    <row r="71" spans="3:15">
      <c r="C71" s="5"/>
      <c r="G71" s="5"/>
      <c r="O71" s="5"/>
    </row>
    <row r="72" spans="3:15">
      <c r="C72" s="5"/>
      <c r="G72" s="5"/>
      <c r="O72" s="5"/>
    </row>
    <row r="73" spans="3:15">
      <c r="C73" s="5"/>
      <c r="G73" s="5"/>
      <c r="O73" s="5"/>
    </row>
    <row r="74" spans="3:15">
      <c r="C74" s="5"/>
      <c r="G74" s="5"/>
      <c r="O74" s="5"/>
    </row>
    <row r="75" spans="3:15">
      <c r="C75" s="5"/>
      <c r="G75" s="5"/>
      <c r="O75" s="5"/>
    </row>
    <row r="76" spans="3:15">
      <c r="C76" s="5"/>
      <c r="G76" s="5"/>
      <c r="O76" s="5"/>
    </row>
    <row r="77" spans="3:15">
      <c r="C77" s="5"/>
      <c r="G77" s="5"/>
      <c r="O77" s="5"/>
    </row>
    <row r="78" spans="3:15">
      <c r="C78" s="5"/>
      <c r="G78" s="5"/>
      <c r="O78" s="5"/>
    </row>
    <row r="79" spans="3:15">
      <c r="C79" s="5"/>
      <c r="G79" s="5"/>
      <c r="O79" s="5"/>
    </row>
    <row r="80" spans="3:15">
      <c r="C80" s="5"/>
      <c r="G80" s="5"/>
      <c r="O80" s="5"/>
    </row>
    <row r="81" spans="3:15">
      <c r="C81" s="5"/>
      <c r="G81" s="5"/>
      <c r="O81" s="5"/>
    </row>
    <row r="82" spans="3:15">
      <c r="C82" s="5"/>
      <c r="G82" s="5"/>
      <c r="O82" s="5"/>
    </row>
    <row r="83" spans="3:15">
      <c r="C83" s="5"/>
      <c r="G83" s="5"/>
      <c r="O83" s="5"/>
    </row>
    <row r="84" spans="3:15">
      <c r="C84" s="5"/>
      <c r="G84" s="5"/>
      <c r="O84" s="5"/>
    </row>
    <row r="85" spans="3:15">
      <c r="C85" s="5"/>
      <c r="G85" s="5"/>
      <c r="O85" s="5"/>
    </row>
    <row r="86" spans="3:15">
      <c r="C86" s="5"/>
      <c r="G86" s="5"/>
      <c r="O86" s="5"/>
    </row>
    <row r="87" spans="3:15">
      <c r="C87" s="5"/>
      <c r="G87" s="5"/>
      <c r="O87" s="5"/>
    </row>
    <row r="88" spans="3:15">
      <c r="C88" s="5"/>
      <c r="G88" s="5"/>
      <c r="O88" s="5"/>
    </row>
    <row r="89" spans="3:15">
      <c r="C89" s="5"/>
      <c r="G89" s="5"/>
      <c r="O89" s="5"/>
    </row>
    <row r="90" spans="3:15">
      <c r="C90" s="5"/>
      <c r="G90" s="5"/>
      <c r="O90" s="5"/>
    </row>
    <row r="91" spans="3:15">
      <c r="C91" s="5"/>
      <c r="G91" s="5"/>
      <c r="O91" s="5"/>
    </row>
    <row r="92" spans="3:15">
      <c r="C92" s="5"/>
      <c r="G92" s="5"/>
      <c r="O92" s="5"/>
    </row>
    <row r="93" spans="3:15">
      <c r="C93" s="5"/>
      <c r="G93" s="5"/>
      <c r="O93" s="5"/>
    </row>
    <row r="94" spans="3:15">
      <c r="C94" s="5"/>
      <c r="G94" s="5"/>
      <c r="O94" s="5"/>
    </row>
    <row r="95" spans="3:15">
      <c r="C95" s="5"/>
      <c r="G95" s="5"/>
      <c r="O95" s="5"/>
    </row>
    <row r="96" spans="3:15">
      <c r="C96" s="5"/>
      <c r="G96" s="5"/>
      <c r="O96" s="5"/>
    </row>
    <row r="97" spans="3:15">
      <c r="C97" s="5"/>
      <c r="G97" s="5"/>
      <c r="O97" s="5"/>
    </row>
    <row r="98" spans="3:15">
      <c r="C98" s="5"/>
      <c r="G98" s="5"/>
      <c r="O98" s="5"/>
    </row>
    <row r="99" spans="3:15">
      <c r="C99" s="5"/>
      <c r="G99" s="5"/>
      <c r="O99" s="5"/>
    </row>
    <row r="100" spans="3:15">
      <c r="C100" s="5"/>
      <c r="G100" s="5"/>
      <c r="O100" s="5"/>
    </row>
    <row r="101" spans="3:15">
      <c r="C101" s="5"/>
      <c r="G101" s="5"/>
      <c r="O101" s="5"/>
    </row>
    <row r="102" spans="3:15">
      <c r="C102" s="5"/>
      <c r="G102" s="5"/>
      <c r="O102" s="5"/>
    </row>
    <row r="103" spans="3:15">
      <c r="C103" s="5"/>
      <c r="G103" s="5"/>
      <c r="O103" s="5"/>
    </row>
    <row r="104" spans="3:15">
      <c r="C104" s="5"/>
      <c r="G104" s="5"/>
      <c r="O104" s="5"/>
    </row>
    <row r="105" spans="3:15">
      <c r="C105" s="5"/>
      <c r="G105" s="5"/>
      <c r="O105" s="5"/>
    </row>
    <row r="106" spans="3:15">
      <c r="C106" s="5"/>
      <c r="G106" s="5"/>
      <c r="O106" s="5"/>
    </row>
    <row r="107" spans="3:15">
      <c r="C107" s="5"/>
      <c r="G107" s="5"/>
      <c r="O107" s="5"/>
    </row>
    <row r="108" spans="3:15">
      <c r="C108" s="5"/>
      <c r="G108" s="5"/>
      <c r="O108" s="5"/>
    </row>
    <row r="109" spans="3:15">
      <c r="C109" s="5"/>
      <c r="G109" s="5"/>
      <c r="O109" s="5"/>
    </row>
    <row r="110" spans="3:15">
      <c r="C110" s="5"/>
      <c r="G110" s="5"/>
      <c r="O110" s="5"/>
    </row>
    <row r="111" spans="3:15">
      <c r="C111" s="5"/>
      <c r="G111" s="5"/>
      <c r="O111" s="5"/>
    </row>
    <row r="112" spans="3:15">
      <c r="C112" s="5"/>
      <c r="G112" s="5"/>
      <c r="O112" s="5"/>
    </row>
    <row r="113" spans="3:15">
      <c r="C113" s="5"/>
      <c r="G113" s="5"/>
      <c r="O113" s="5"/>
    </row>
    <row r="114" spans="3:15">
      <c r="C114" s="5"/>
      <c r="G114" s="5"/>
      <c r="O114" s="5"/>
    </row>
    <row r="115" spans="3:15">
      <c r="C115" s="5"/>
      <c r="G115" s="5"/>
      <c r="O115" s="5"/>
    </row>
    <row r="116" spans="3:15">
      <c r="C116" s="5"/>
      <c r="G116" s="5"/>
      <c r="O116" s="5"/>
    </row>
    <row r="117" spans="3:15">
      <c r="C117" s="5"/>
      <c r="G117" s="5"/>
      <c r="O117" s="5"/>
    </row>
    <row r="118" spans="3:15">
      <c r="C118" s="5"/>
      <c r="G118" s="5"/>
      <c r="O118" s="5"/>
    </row>
    <row r="119" spans="3:15">
      <c r="C119" s="5"/>
      <c r="G119" s="5"/>
      <c r="O119" s="5"/>
    </row>
    <row r="120" spans="3:15">
      <c r="C120" s="5"/>
      <c r="G120" s="5"/>
      <c r="O120" s="5"/>
    </row>
    <row r="121" spans="3:15">
      <c r="C121" s="5"/>
      <c r="G121" s="5"/>
      <c r="O121" s="5"/>
    </row>
    <row r="122" spans="3:15">
      <c r="C122" s="5"/>
      <c r="G122" s="5"/>
      <c r="O122" s="5"/>
    </row>
    <row r="123" spans="3:15">
      <c r="C123" s="5"/>
      <c r="G123" s="5"/>
      <c r="O123" s="5"/>
    </row>
    <row r="124" spans="3:15">
      <c r="C124" s="5"/>
      <c r="G124" s="5"/>
      <c r="O124" s="5"/>
    </row>
    <row r="125" spans="3:15">
      <c r="C125" s="5"/>
      <c r="G125" s="5"/>
      <c r="O125" s="5"/>
    </row>
    <row r="126" spans="3:15">
      <c r="C126" s="5"/>
      <c r="G126" s="5"/>
      <c r="O126" s="5"/>
    </row>
    <row r="127" spans="3:15">
      <c r="C127" s="5"/>
      <c r="G127" s="5"/>
      <c r="O127" s="5"/>
    </row>
    <row r="128" spans="3:15">
      <c r="C128" s="5"/>
      <c r="G128" s="5"/>
      <c r="O128" s="5"/>
    </row>
    <row r="129" spans="3:15">
      <c r="C129" s="5"/>
      <c r="G129" s="5"/>
      <c r="O129" s="5"/>
    </row>
    <row r="130" spans="3:15">
      <c r="C130" s="5"/>
      <c r="G130" s="5"/>
      <c r="O130" s="5"/>
    </row>
    <row r="131" spans="3:15">
      <c r="C131" s="5"/>
      <c r="G131" s="5"/>
      <c r="O131" s="5"/>
    </row>
    <row r="132" spans="3:15">
      <c r="C132" s="5"/>
      <c r="G132" s="5"/>
      <c r="O132" s="5"/>
    </row>
    <row r="133" spans="3:15">
      <c r="C133" s="5"/>
      <c r="G133" s="5"/>
      <c r="O133" s="5"/>
    </row>
    <row r="134" spans="3:15">
      <c r="C134" s="5"/>
      <c r="G134" s="5"/>
      <c r="O134" s="5"/>
    </row>
    <row r="135" spans="3:15">
      <c r="C135" s="5"/>
      <c r="G135" s="5"/>
      <c r="O135" s="5"/>
    </row>
    <row r="136" spans="3:15">
      <c r="C136" s="5"/>
      <c r="G136" s="5"/>
      <c r="O136" s="5"/>
    </row>
    <row r="137" spans="3:15">
      <c r="C137" s="5"/>
      <c r="G137" s="5"/>
      <c r="O137" s="5"/>
    </row>
    <row r="138" spans="3:15">
      <c r="C138" s="5"/>
      <c r="G138" s="5"/>
      <c r="O138" s="5"/>
    </row>
    <row r="139" spans="3:15">
      <c r="C139" s="5"/>
      <c r="G139" s="5"/>
      <c r="O139" s="5"/>
    </row>
    <row r="140" spans="3:15">
      <c r="C140" s="5"/>
      <c r="G140" s="5"/>
      <c r="O140" s="5"/>
    </row>
    <row r="141" spans="3:15">
      <c r="C141" s="5"/>
      <c r="G141" s="5"/>
      <c r="O141" s="5"/>
    </row>
    <row r="142" spans="3:15">
      <c r="C142" s="5"/>
      <c r="G142" s="5"/>
      <c r="O142" s="5"/>
    </row>
    <row r="143" spans="3:15">
      <c r="C143" s="5"/>
      <c r="G143" s="5"/>
      <c r="O143" s="5"/>
    </row>
    <row r="144" spans="3:15">
      <c r="C144" s="5"/>
      <c r="G144" s="5"/>
      <c r="O144" s="5"/>
    </row>
    <row r="145" spans="3:15">
      <c r="C145" s="5"/>
      <c r="G145" s="5"/>
      <c r="O145" s="5"/>
    </row>
    <row r="146" spans="3:15">
      <c r="C146" s="5"/>
      <c r="G146" s="5"/>
      <c r="O146" s="5"/>
    </row>
    <row r="147" spans="3:15">
      <c r="C147" s="5"/>
      <c r="G147" s="5"/>
      <c r="O147" s="5"/>
    </row>
    <row r="148" spans="3:15">
      <c r="C148" s="5"/>
      <c r="G148" s="5"/>
      <c r="O148" s="5"/>
    </row>
    <row r="149" spans="3:15">
      <c r="C149" s="5"/>
      <c r="G149" s="5"/>
      <c r="O149" s="5"/>
    </row>
    <row r="150" spans="3:15">
      <c r="C150" s="5"/>
      <c r="G150" s="5"/>
      <c r="O150" s="5"/>
    </row>
    <row r="151" spans="3:15">
      <c r="C151" s="5"/>
      <c r="G151" s="5"/>
      <c r="O151" s="5"/>
    </row>
    <row r="152" spans="3:15">
      <c r="C152" s="5"/>
      <c r="G152" s="5"/>
      <c r="O152" s="5"/>
    </row>
    <row r="153" spans="3:15">
      <c r="C153" s="5"/>
      <c r="G153" s="5"/>
      <c r="O153" s="5"/>
    </row>
    <row r="154" spans="3:15">
      <c r="C154" s="5"/>
      <c r="G154" s="5"/>
      <c r="O154" s="5"/>
    </row>
    <row r="155" spans="3:15">
      <c r="C155" s="5"/>
      <c r="G155" s="5"/>
      <c r="O155" s="5"/>
    </row>
    <row r="156" spans="3:15">
      <c r="C156" s="5"/>
      <c r="G156" s="5"/>
      <c r="O156" s="5"/>
    </row>
    <row r="157" spans="3:15">
      <c r="C157" s="5"/>
      <c r="G157" s="5"/>
      <c r="O157" s="5"/>
    </row>
    <row r="158" spans="3:15">
      <c r="C158" s="5"/>
      <c r="G158" s="5"/>
      <c r="O158" s="5"/>
    </row>
    <row r="159" spans="3:15">
      <c r="C159" s="5"/>
      <c r="G159" s="5"/>
      <c r="O159" s="5"/>
    </row>
    <row r="160" spans="3:15">
      <c r="C160" s="5"/>
      <c r="G160" s="5"/>
      <c r="O160" s="5"/>
    </row>
    <row r="161" spans="3:15">
      <c r="C161" s="5"/>
      <c r="G161" s="5"/>
      <c r="O161" s="5"/>
    </row>
    <row r="162" spans="3:15">
      <c r="C162" s="5"/>
      <c r="G162" s="5"/>
      <c r="O162" s="5"/>
    </row>
    <row r="163" spans="3:15">
      <c r="C163" s="5"/>
      <c r="G163" s="5"/>
      <c r="O163" s="5"/>
    </row>
    <row r="164" spans="3:15">
      <c r="C164" s="5"/>
      <c r="G164" s="5"/>
      <c r="O164" s="5"/>
    </row>
    <row r="165" spans="3:15">
      <c r="C165" s="5"/>
      <c r="G165" s="5"/>
      <c r="O165" s="5"/>
    </row>
    <row r="166" spans="3:15">
      <c r="C166" s="5"/>
      <c r="G166" s="5"/>
      <c r="O166" s="5"/>
    </row>
    <row r="167" spans="3:15">
      <c r="C167" s="5"/>
      <c r="G167" s="5"/>
      <c r="O167" s="5"/>
    </row>
    <row r="168" spans="3:15">
      <c r="C168" s="5"/>
      <c r="G168" s="5"/>
      <c r="O168" s="5"/>
    </row>
    <row r="169" spans="3:15">
      <c r="C169" s="5"/>
      <c r="G169" s="5"/>
      <c r="O169" s="5"/>
    </row>
    <row r="170" spans="3:15">
      <c r="C170" s="5"/>
      <c r="G170" s="5"/>
      <c r="O170" s="5"/>
    </row>
    <row r="171" spans="3:15">
      <c r="C171" s="5"/>
      <c r="G171" s="5"/>
      <c r="O171" s="5"/>
    </row>
    <row r="172" spans="3:15">
      <c r="C172" s="5"/>
      <c r="G172" s="5"/>
      <c r="O172" s="5"/>
    </row>
    <row r="173" spans="3:15">
      <c r="C173" s="5"/>
      <c r="G173" s="5"/>
      <c r="O173" s="5"/>
    </row>
    <row r="174" spans="3:15">
      <c r="C174" s="5"/>
      <c r="G174" s="5"/>
      <c r="O174" s="5"/>
    </row>
    <row r="175" spans="3:15">
      <c r="C175" s="5"/>
      <c r="G175" s="5"/>
      <c r="O175" s="5"/>
    </row>
    <row r="176" spans="3:15">
      <c r="C176" s="5"/>
      <c r="G176" s="5"/>
      <c r="O176" s="5"/>
    </row>
    <row r="177" spans="3:15">
      <c r="C177" s="5"/>
      <c r="G177" s="5"/>
      <c r="O177" s="5"/>
    </row>
    <row r="178" spans="3:15">
      <c r="C178" s="5"/>
      <c r="G178" s="5"/>
      <c r="O178" s="5"/>
    </row>
    <row r="179" spans="3:15">
      <c r="C179" s="5"/>
      <c r="G179" s="5"/>
      <c r="O179" s="5"/>
    </row>
    <row r="180" spans="3:15">
      <c r="C180" s="5"/>
      <c r="G180" s="5"/>
      <c r="O180" s="5"/>
    </row>
    <row r="181" spans="3:15">
      <c r="C181" s="5"/>
      <c r="G181" s="5"/>
      <c r="O181" s="5"/>
    </row>
    <row r="182" spans="3:15">
      <c r="C182" s="5"/>
      <c r="G182" s="5"/>
      <c r="O182" s="5"/>
    </row>
    <row r="183" spans="3:15">
      <c r="C183" s="5"/>
      <c r="G183" s="5"/>
      <c r="O183" s="5"/>
    </row>
    <row r="184" spans="3:15">
      <c r="C184" s="5"/>
      <c r="G184" s="5"/>
      <c r="O184" s="5"/>
    </row>
    <row r="185" spans="3:15">
      <c r="C185" s="5"/>
      <c r="G185" s="5"/>
      <c r="O185" s="5"/>
    </row>
    <row r="186" spans="3:15">
      <c r="C186" s="5"/>
      <c r="G186" s="5"/>
      <c r="O186" s="5"/>
    </row>
    <row r="187" spans="3:15">
      <c r="C187" s="5"/>
      <c r="G187" s="5"/>
      <c r="O187" s="5"/>
    </row>
    <row r="188" spans="3:15">
      <c r="C188" s="5"/>
      <c r="G188" s="5"/>
      <c r="O188" s="5"/>
    </row>
    <row r="189" spans="3:15">
      <c r="C189" s="5"/>
      <c r="G189" s="5"/>
      <c r="O189" s="5"/>
    </row>
    <row r="190" spans="3:15">
      <c r="C190" s="5"/>
      <c r="G190" s="5"/>
      <c r="O190" s="5"/>
    </row>
    <row r="191" spans="3:15">
      <c r="C191" s="5"/>
      <c r="G191" s="5"/>
      <c r="O191" s="5"/>
    </row>
    <row r="192" spans="3:15">
      <c r="C192" s="5"/>
      <c r="G192" s="5"/>
      <c r="O192" s="5"/>
    </row>
    <row r="193" spans="3:15">
      <c r="C193" s="5"/>
      <c r="G193" s="5"/>
      <c r="O193" s="5"/>
    </row>
    <row r="194" spans="3:15">
      <c r="C194" s="5"/>
      <c r="G194" s="5"/>
      <c r="O194" s="5"/>
    </row>
    <row r="195" spans="3:15">
      <c r="C195" s="5"/>
      <c r="G195" s="5"/>
      <c r="O195" s="5"/>
    </row>
    <row r="196" spans="3:15">
      <c r="C196" s="5"/>
      <c r="G196" s="5"/>
      <c r="O196" s="5"/>
    </row>
    <row r="197" spans="3:15">
      <c r="C197" s="5"/>
      <c r="G197" s="5"/>
      <c r="O197" s="5"/>
    </row>
    <row r="198" spans="3:15">
      <c r="C198" s="5"/>
      <c r="G198" s="5"/>
      <c r="O198" s="5"/>
    </row>
    <row r="199" spans="3:15">
      <c r="C199" s="5"/>
      <c r="G199" s="5"/>
      <c r="O199" s="5"/>
    </row>
    <row r="200" spans="3:15">
      <c r="C200" s="5"/>
      <c r="G200" s="5"/>
      <c r="O200" s="5"/>
    </row>
    <row r="201" spans="3:15">
      <c r="C201" s="5"/>
      <c r="G201" s="5"/>
      <c r="O201" s="5"/>
    </row>
    <row r="202" spans="3:15">
      <c r="C202" s="5"/>
      <c r="G202" s="5"/>
      <c r="O202" s="5"/>
    </row>
    <row r="203" spans="3:15">
      <c r="C203" s="5"/>
      <c r="G203" s="5"/>
      <c r="O203" s="5"/>
    </row>
    <row r="204" spans="3:15">
      <c r="C204" s="5"/>
      <c r="G204" s="5"/>
      <c r="O204" s="5"/>
    </row>
    <row r="205" spans="3:15">
      <c r="C205" s="5"/>
      <c r="G205" s="5"/>
      <c r="O205" s="5"/>
    </row>
    <row r="206" spans="3:15">
      <c r="C206" s="5"/>
      <c r="G206" s="5"/>
      <c r="O206" s="5"/>
    </row>
    <row r="207" spans="3:15">
      <c r="C207" s="5"/>
      <c r="G207" s="5"/>
      <c r="O207" s="5"/>
    </row>
    <row r="208" spans="3:15">
      <c r="C208" s="5"/>
      <c r="G208" s="5"/>
      <c r="O208" s="5"/>
    </row>
    <row r="209" spans="3:15">
      <c r="C209" s="5"/>
      <c r="G209" s="5"/>
      <c r="O209" s="5"/>
    </row>
    <row r="210" spans="3:15">
      <c r="C210" s="5"/>
      <c r="G210" s="5"/>
      <c r="O210" s="5"/>
    </row>
    <row r="211" spans="3:15">
      <c r="C211" s="5"/>
      <c r="G211" s="5"/>
      <c r="O211" s="5"/>
    </row>
    <row r="212" spans="3:15">
      <c r="C212" s="5"/>
      <c r="G212" s="5"/>
      <c r="O212" s="5"/>
    </row>
    <row r="213" spans="3:15">
      <c r="C213" s="5"/>
      <c r="G213" s="5"/>
      <c r="O213" s="5"/>
    </row>
    <row r="214" spans="3:15">
      <c r="C214" s="5"/>
      <c r="G214" s="5"/>
      <c r="O214" s="5"/>
    </row>
    <row r="215" spans="3:15">
      <c r="C215" s="5"/>
      <c r="G215" s="5"/>
      <c r="O215" s="5"/>
    </row>
    <row r="216" spans="3:15">
      <c r="C216" s="5"/>
      <c r="G216" s="5"/>
      <c r="O216" s="5"/>
    </row>
    <row r="217" spans="3:15">
      <c r="C217" s="5"/>
      <c r="G217" s="5"/>
      <c r="O217" s="5"/>
    </row>
    <row r="218" spans="3:15">
      <c r="C218" s="5"/>
      <c r="G218" s="5"/>
      <c r="O218" s="5"/>
    </row>
    <row r="219" spans="3:15">
      <c r="C219" s="5"/>
      <c r="G219" s="5"/>
      <c r="O219" s="5"/>
    </row>
    <row r="220" spans="3:15">
      <c r="C220" s="5"/>
      <c r="G220" s="5"/>
      <c r="O220" s="5"/>
    </row>
    <row r="221" spans="3:15">
      <c r="C221" s="5"/>
      <c r="G221" s="5"/>
      <c r="O221" s="5"/>
    </row>
    <row r="222" spans="3:15">
      <c r="C222" s="5"/>
      <c r="G222" s="5"/>
      <c r="O222" s="5"/>
    </row>
    <row r="223" spans="3:15">
      <c r="C223" s="5"/>
      <c r="G223" s="5"/>
      <c r="O223" s="5"/>
    </row>
    <row r="224" spans="3:15">
      <c r="C224" s="5"/>
      <c r="G224" s="5"/>
      <c r="O224" s="5"/>
    </row>
    <row r="225" spans="3:15">
      <c r="C225" s="5"/>
      <c r="G225" s="5"/>
      <c r="O225" s="5"/>
    </row>
    <row r="226" spans="3:15">
      <c r="C226" s="5"/>
      <c r="G226" s="5"/>
      <c r="O226" s="5"/>
    </row>
    <row r="227" spans="3:15">
      <c r="C227" s="5"/>
      <c r="G227" s="5"/>
      <c r="O227" s="5"/>
    </row>
    <row r="228" spans="3:15">
      <c r="C228" s="5"/>
      <c r="G228" s="5"/>
      <c r="O228" s="5"/>
    </row>
    <row r="229" spans="3:15">
      <c r="C229" s="5"/>
      <c r="G229" s="5"/>
      <c r="O229" s="5"/>
    </row>
    <row r="230" spans="3:15">
      <c r="C230" s="5"/>
      <c r="G230" s="5"/>
      <c r="O230" s="5"/>
    </row>
    <row r="231" spans="3:15">
      <c r="C231" s="5"/>
      <c r="G231" s="5"/>
      <c r="O231" s="5"/>
    </row>
    <row r="232" spans="3:15">
      <c r="C232" s="5"/>
      <c r="G232" s="5"/>
      <c r="O232" s="5"/>
    </row>
    <row r="233" spans="3:15">
      <c r="C233" s="5"/>
      <c r="G233" s="5"/>
      <c r="O233" s="5"/>
    </row>
    <row r="234" spans="3:15">
      <c r="C234" s="5"/>
      <c r="G234" s="5"/>
      <c r="O234" s="5"/>
    </row>
    <row r="235" spans="3:15">
      <c r="C235" s="5"/>
      <c r="G235" s="5"/>
      <c r="O235" s="5"/>
    </row>
    <row r="236" spans="3:15">
      <c r="C236" s="5"/>
      <c r="G236" s="5"/>
      <c r="O236" s="5"/>
    </row>
    <row r="237" spans="3:15">
      <c r="C237" s="5"/>
      <c r="G237" s="5"/>
      <c r="O237" s="5"/>
    </row>
    <row r="238" spans="3:15">
      <c r="C238" s="5"/>
      <c r="G238" s="5"/>
      <c r="O238" s="5"/>
    </row>
    <row r="239" spans="3:15">
      <c r="C239" s="5"/>
      <c r="G239" s="5"/>
      <c r="O239" s="5"/>
    </row>
    <row r="240" spans="3:15">
      <c r="C240" s="5"/>
      <c r="G240" s="5"/>
      <c r="O240" s="5"/>
    </row>
    <row r="241" spans="3:15">
      <c r="C241" s="5"/>
      <c r="G241" s="5"/>
      <c r="O241" s="5"/>
    </row>
    <row r="242" spans="3:15">
      <c r="C242" s="5"/>
      <c r="G242" s="5"/>
      <c r="O242" s="5"/>
    </row>
    <row r="243" spans="3:15">
      <c r="C243" s="5"/>
      <c r="G243" s="5"/>
      <c r="O243" s="5"/>
    </row>
    <row r="244" spans="3:15">
      <c r="C244" s="5"/>
      <c r="G244" s="5"/>
      <c r="O244" s="5"/>
    </row>
    <row r="245" spans="3:15">
      <c r="C245" s="5"/>
      <c r="G245" s="5"/>
      <c r="O245" s="5"/>
    </row>
    <row r="246" spans="3:15">
      <c r="C246" s="5"/>
      <c r="G246" s="5"/>
      <c r="O246" s="5"/>
    </row>
    <row r="247" spans="3:15">
      <c r="C247" s="5"/>
      <c r="G247" s="5"/>
      <c r="O247" s="5"/>
    </row>
    <row r="248" spans="3:15">
      <c r="C248" s="5"/>
      <c r="G248" s="5"/>
      <c r="O248" s="5"/>
    </row>
    <row r="249" spans="3:15">
      <c r="C249" s="5"/>
      <c r="G249" s="5"/>
      <c r="O249" s="5"/>
    </row>
    <row r="250" spans="3:15">
      <c r="C250" s="5"/>
      <c r="G250" s="5"/>
      <c r="O250" s="5"/>
    </row>
    <row r="251" spans="3:15">
      <c r="C251" s="5"/>
      <c r="G251" s="5"/>
      <c r="O251" s="5"/>
    </row>
    <row r="252" spans="3:15">
      <c r="C252" s="5"/>
      <c r="G252" s="5"/>
      <c r="O252" s="5"/>
    </row>
    <row r="253" spans="3:15">
      <c r="C253" s="5"/>
      <c r="G253" s="5"/>
      <c r="O253" s="5"/>
    </row>
    <row r="254" spans="3:15">
      <c r="C254" s="5"/>
      <c r="G254" s="5"/>
      <c r="O254" s="5"/>
    </row>
    <row r="255" spans="3:15">
      <c r="C255" s="5"/>
      <c r="G255" s="5"/>
      <c r="O255" s="5"/>
    </row>
    <row r="256" spans="3:15">
      <c r="C256" s="5"/>
      <c r="G256" s="5"/>
      <c r="O256" s="5"/>
    </row>
    <row r="257" spans="3:15">
      <c r="C257" s="5"/>
      <c r="G257" s="5"/>
      <c r="O257" s="5"/>
    </row>
    <row r="258" spans="3:15">
      <c r="C258" s="5"/>
      <c r="G258" s="5"/>
      <c r="O258" s="5"/>
    </row>
    <row r="259" spans="3:15">
      <c r="C259" s="5"/>
      <c r="G259" s="5"/>
      <c r="O259" s="5"/>
    </row>
    <row r="260" spans="3:15">
      <c r="C260" s="5"/>
      <c r="G260" s="5"/>
      <c r="O260" s="5"/>
    </row>
    <row r="261" spans="3:15">
      <c r="C261" s="5"/>
      <c r="G261" s="5"/>
      <c r="O261" s="5"/>
    </row>
    <row r="262" spans="3:15">
      <c r="C262" s="5"/>
      <c r="G262" s="5"/>
      <c r="O262" s="5"/>
    </row>
    <row r="263" spans="3:15">
      <c r="C263" s="5"/>
      <c r="G263" s="5"/>
      <c r="O263" s="5"/>
    </row>
    <row r="264" spans="3:15">
      <c r="C264" s="5"/>
      <c r="G264" s="5"/>
      <c r="O264" s="5"/>
    </row>
    <row r="265" spans="3:15">
      <c r="C265" s="5"/>
      <c r="G265" s="5"/>
      <c r="O265" s="5"/>
    </row>
    <row r="266" spans="3:15">
      <c r="C266" s="5"/>
      <c r="G266" s="5"/>
      <c r="O266" s="5"/>
    </row>
    <row r="267" spans="3:15">
      <c r="C267" s="5"/>
      <c r="G267" s="5"/>
      <c r="O267" s="5"/>
    </row>
    <row r="268" spans="3:15">
      <c r="C268" s="5"/>
      <c r="G268" s="5"/>
      <c r="O268" s="5"/>
    </row>
    <row r="269" spans="3:15">
      <c r="C269" s="5"/>
      <c r="G269" s="5"/>
      <c r="O269" s="5"/>
    </row>
    <row r="270" spans="3:15">
      <c r="C270" s="5"/>
      <c r="G270" s="5"/>
      <c r="O270" s="5"/>
    </row>
    <row r="271" spans="3:15">
      <c r="C271" s="5"/>
      <c r="G271" s="5"/>
      <c r="O271" s="5"/>
    </row>
    <row r="272" spans="3:15">
      <c r="C272" s="5"/>
      <c r="G272" s="5"/>
      <c r="O272" s="5"/>
    </row>
    <row r="273" spans="3:15">
      <c r="C273" s="5"/>
      <c r="G273" s="5"/>
      <c r="O273" s="5"/>
    </row>
    <row r="274" spans="3:15">
      <c r="C274" s="5"/>
      <c r="G274" s="5"/>
      <c r="O274" s="5"/>
    </row>
    <row r="275" spans="3:15">
      <c r="C275" s="5"/>
      <c r="G275" s="5"/>
      <c r="O275" s="5"/>
    </row>
    <row r="276" spans="3:15">
      <c r="C276" s="5"/>
      <c r="G276" s="5"/>
      <c r="O276" s="5"/>
    </row>
    <row r="277" spans="3:15">
      <c r="C277" s="5"/>
      <c r="G277" s="5"/>
      <c r="O277" s="5"/>
    </row>
    <row r="278" spans="3:15">
      <c r="C278" s="5"/>
      <c r="G278" s="5"/>
      <c r="O278" s="5"/>
    </row>
    <row r="279" spans="3:15">
      <c r="C279" s="5"/>
      <c r="G279" s="5"/>
      <c r="O279" s="5"/>
    </row>
    <row r="280" spans="3:15">
      <c r="C280" s="5"/>
      <c r="G280" s="5"/>
      <c r="O280" s="5"/>
    </row>
    <row r="281" spans="3:15">
      <c r="C281" s="5"/>
      <c r="G281" s="5"/>
      <c r="O281" s="5"/>
    </row>
    <row r="282" spans="3:15">
      <c r="C282" s="5"/>
      <c r="G282" s="5"/>
      <c r="O282" s="5"/>
    </row>
    <row r="283" spans="3:15">
      <c r="C283" s="5"/>
      <c r="G283" s="5"/>
      <c r="O283" s="5"/>
    </row>
    <row r="284" spans="3:15">
      <c r="C284" s="5"/>
      <c r="G284" s="5"/>
      <c r="O284" s="5"/>
    </row>
    <row r="285" spans="3:15">
      <c r="C285" s="5"/>
      <c r="G285" s="5"/>
      <c r="O285" s="5"/>
    </row>
    <row r="286" spans="3:15">
      <c r="C286" s="5"/>
      <c r="G286" s="5"/>
      <c r="O286" s="5"/>
    </row>
    <row r="287" spans="3:15">
      <c r="C287" s="5"/>
      <c r="G287" s="5"/>
      <c r="O287" s="5"/>
    </row>
    <row r="288" spans="3:15">
      <c r="C288" s="5"/>
      <c r="G288" s="5"/>
      <c r="O288" s="5"/>
    </row>
    <row r="289" spans="3:15">
      <c r="C289" s="5"/>
      <c r="G289" s="5"/>
      <c r="O289" s="5"/>
    </row>
    <row r="290" spans="3:15">
      <c r="C290" s="5"/>
      <c r="G290" s="5"/>
      <c r="O290" s="5"/>
    </row>
    <row r="291" spans="3:15">
      <c r="C291" s="5"/>
      <c r="G291" s="5"/>
      <c r="O291" s="5"/>
    </row>
    <row r="292" spans="3:15">
      <c r="C292" s="5"/>
      <c r="G292" s="5"/>
      <c r="O292" s="5"/>
    </row>
    <row r="293" spans="3:15">
      <c r="C293" s="5"/>
      <c r="G293" s="5"/>
      <c r="O293" s="5"/>
    </row>
    <row r="294" spans="3:15">
      <c r="C294" s="5"/>
      <c r="G294" s="5"/>
      <c r="O294" s="5"/>
    </row>
    <row r="295" spans="3:15">
      <c r="C295" s="5"/>
      <c r="G295" s="5"/>
      <c r="O295" s="5"/>
    </row>
    <row r="296" spans="3:15">
      <c r="C296" s="5"/>
      <c r="G296" s="5"/>
      <c r="O296" s="5"/>
    </row>
    <row r="297" spans="3:15">
      <c r="C297" s="5"/>
      <c r="G297" s="5"/>
      <c r="O297" s="5"/>
    </row>
    <row r="298" spans="3:15">
      <c r="C298" s="5"/>
      <c r="G298" s="5"/>
      <c r="O298" s="5"/>
    </row>
    <row r="299" spans="3:15">
      <c r="C299" s="5"/>
      <c r="G299" s="5"/>
      <c r="O299" s="5"/>
    </row>
    <row r="300" spans="3:15">
      <c r="C300" s="5"/>
      <c r="G300" s="5"/>
      <c r="O300" s="5"/>
    </row>
    <row r="301" spans="3:15">
      <c r="C301" s="5"/>
      <c r="G301" s="5"/>
      <c r="O301" s="5"/>
    </row>
    <row r="302" spans="3:15">
      <c r="C302" s="5"/>
      <c r="G302" s="5"/>
      <c r="O302" s="5"/>
    </row>
    <row r="303" spans="3:15">
      <c r="C303" s="5"/>
      <c r="G303" s="5"/>
      <c r="O303" s="5"/>
    </row>
    <row r="304" spans="3:15">
      <c r="C304" s="5"/>
      <c r="G304" s="5"/>
      <c r="O304" s="5"/>
    </row>
    <row r="305" spans="3:15">
      <c r="C305" s="5"/>
      <c r="G305" s="5"/>
      <c r="O305" s="5"/>
    </row>
    <row r="306" spans="3:15">
      <c r="C306" s="5"/>
      <c r="G306" s="5"/>
      <c r="O306" s="5"/>
    </row>
    <row r="307" spans="3:15">
      <c r="C307" s="5"/>
      <c r="G307" s="5"/>
      <c r="O307" s="5"/>
    </row>
    <row r="308" spans="3:15">
      <c r="C308" s="5"/>
      <c r="G308" s="5"/>
      <c r="O308" s="5"/>
    </row>
    <row r="309" spans="3:15">
      <c r="C309" s="5"/>
      <c r="G309" s="5"/>
      <c r="O309" s="5"/>
    </row>
    <row r="310" spans="3:15">
      <c r="C310" s="5"/>
      <c r="G310" s="5"/>
      <c r="O310" s="5"/>
    </row>
    <row r="311" spans="3:15">
      <c r="C311" s="5"/>
      <c r="G311" s="5"/>
      <c r="O311" s="5"/>
    </row>
    <row r="312" spans="3:15">
      <c r="C312" s="5"/>
      <c r="G312" s="5"/>
      <c r="O312" s="5"/>
    </row>
    <row r="313" spans="3:15">
      <c r="C313" s="5"/>
      <c r="G313" s="5"/>
      <c r="O313" s="5"/>
    </row>
    <row r="314" spans="3:15">
      <c r="C314" s="5"/>
      <c r="G314" s="5"/>
      <c r="O314" s="5"/>
    </row>
    <row r="315" spans="3:15">
      <c r="C315" s="5"/>
      <c r="G315" s="5"/>
      <c r="O315" s="5"/>
    </row>
    <row r="316" spans="3:15">
      <c r="C316" s="5"/>
      <c r="G316" s="5"/>
      <c r="O316" s="5"/>
    </row>
    <row r="317" spans="3:15">
      <c r="C317" s="5"/>
      <c r="G317" s="5"/>
      <c r="O317" s="5"/>
    </row>
    <row r="318" spans="3:15">
      <c r="C318" s="5"/>
      <c r="G318" s="5"/>
      <c r="O318" s="5"/>
    </row>
    <row r="319" spans="3:15">
      <c r="C319" s="5"/>
      <c r="G319" s="5"/>
      <c r="O319" s="5"/>
    </row>
    <row r="320" spans="3:15">
      <c r="C320" s="5"/>
      <c r="G320" s="5"/>
      <c r="O320" s="5"/>
    </row>
    <row r="321" spans="3:15">
      <c r="C321" s="5"/>
      <c r="G321" s="5"/>
      <c r="O321" s="5"/>
    </row>
    <row r="322" spans="3:15">
      <c r="C322" s="5"/>
      <c r="G322" s="5"/>
      <c r="O322" s="5"/>
    </row>
    <row r="323" spans="3:15">
      <c r="C323" s="5"/>
      <c r="G323" s="5"/>
      <c r="O323" s="5"/>
    </row>
    <row r="324" spans="3:15">
      <c r="C324" s="5"/>
      <c r="G324" s="5"/>
      <c r="O324" s="5"/>
    </row>
    <row r="325" spans="3:15">
      <c r="C325" s="5"/>
      <c r="G325" s="5"/>
      <c r="O325" s="5"/>
    </row>
    <row r="326" spans="3:15">
      <c r="C326" s="5"/>
      <c r="G326" s="5"/>
      <c r="O326" s="5"/>
    </row>
    <row r="327" spans="3:15">
      <c r="C327" s="5"/>
      <c r="G327" s="5"/>
      <c r="O327" s="5"/>
    </row>
    <row r="328" spans="3:15">
      <c r="C328" s="5"/>
      <c r="G328" s="5"/>
      <c r="O328" s="5"/>
    </row>
    <row r="329" spans="3:15">
      <c r="C329" s="5"/>
      <c r="G329" s="5"/>
      <c r="O329" s="5"/>
    </row>
    <row r="330" spans="3:15">
      <c r="C330" s="5"/>
      <c r="G330" s="5"/>
      <c r="O330" s="5"/>
    </row>
    <row r="331" spans="3:15">
      <c r="C331" s="5"/>
      <c r="G331" s="5"/>
      <c r="O331" s="5"/>
    </row>
    <row r="332" spans="3:15">
      <c r="C332" s="5"/>
      <c r="G332" s="5"/>
      <c r="O332" s="5"/>
    </row>
    <row r="333" spans="3:15">
      <c r="C333" s="5"/>
      <c r="G333" s="5"/>
      <c r="O333" s="5"/>
    </row>
    <row r="334" spans="3:15">
      <c r="C334" s="5"/>
      <c r="G334" s="5"/>
      <c r="O334" s="5"/>
    </row>
    <row r="335" spans="3:15">
      <c r="C335" s="5"/>
      <c r="G335" s="5"/>
      <c r="O335" s="5"/>
    </row>
    <row r="336" spans="3:15">
      <c r="C336" s="5"/>
      <c r="G336" s="5"/>
      <c r="O336" s="5"/>
    </row>
    <row r="337" spans="3:15">
      <c r="C337" s="5"/>
      <c r="G337" s="5"/>
      <c r="O337" s="5"/>
    </row>
    <row r="338" spans="3:15">
      <c r="C338" s="5"/>
      <c r="G338" s="5"/>
      <c r="O338" s="5"/>
    </row>
    <row r="339" spans="3:15">
      <c r="C339" s="5"/>
      <c r="G339" s="5"/>
      <c r="O339" s="5"/>
    </row>
    <row r="340" spans="3:15">
      <c r="C340" s="5"/>
      <c r="G340" s="5"/>
      <c r="O340" s="5"/>
    </row>
    <row r="341" spans="3:15">
      <c r="C341" s="5"/>
      <c r="G341" s="5"/>
      <c r="O341" s="5"/>
    </row>
    <row r="342" spans="3:15">
      <c r="C342" s="5"/>
      <c r="G342" s="5"/>
      <c r="O342" s="5"/>
    </row>
    <row r="343" spans="3:15">
      <c r="C343" s="5"/>
      <c r="G343" s="5"/>
      <c r="O343" s="5"/>
    </row>
    <row r="344" spans="3:15">
      <c r="C344" s="5"/>
      <c r="G344" s="5"/>
      <c r="O344" s="5"/>
    </row>
    <row r="345" spans="3:15">
      <c r="C345" s="5"/>
      <c r="G345" s="5"/>
      <c r="O345" s="5"/>
    </row>
    <row r="346" spans="3:15">
      <c r="C346" s="5"/>
      <c r="G346" s="5"/>
      <c r="O346" s="5"/>
    </row>
    <row r="347" spans="3:15">
      <c r="C347" s="5"/>
      <c r="G347" s="5"/>
      <c r="O347" s="5"/>
    </row>
    <row r="348" spans="3:15">
      <c r="C348" s="5"/>
      <c r="G348" s="5"/>
      <c r="O348" s="5"/>
    </row>
    <row r="349" spans="3:15">
      <c r="C349" s="5"/>
      <c r="G349" s="5"/>
      <c r="O349" s="5"/>
    </row>
    <row r="350" spans="3:15">
      <c r="C350" s="5"/>
      <c r="G350" s="5"/>
      <c r="O350" s="5"/>
    </row>
    <row r="351" spans="3:15">
      <c r="C351" s="5"/>
      <c r="G351" s="5"/>
      <c r="O351" s="5"/>
    </row>
    <row r="352" spans="3:15">
      <c r="C352" s="5"/>
      <c r="G352" s="5"/>
      <c r="O352" s="5"/>
    </row>
    <row r="353" spans="3:15">
      <c r="C353" s="5"/>
      <c r="G353" s="5"/>
      <c r="O353" s="5"/>
    </row>
    <row r="354" spans="3:15">
      <c r="C354" s="5"/>
      <c r="G354" s="5"/>
      <c r="O354" s="5"/>
    </row>
    <row r="355" spans="3:15">
      <c r="C355" s="5"/>
      <c r="G355" s="5"/>
      <c r="O355" s="5"/>
    </row>
    <row r="356" spans="3:15">
      <c r="C356" s="5"/>
      <c r="G356" s="5"/>
      <c r="O356" s="5"/>
    </row>
    <row r="357" spans="3:15">
      <c r="C357" s="5"/>
      <c r="G357" s="5"/>
      <c r="O357" s="5"/>
    </row>
    <row r="358" spans="3:15">
      <c r="C358" s="5"/>
      <c r="G358" s="5"/>
      <c r="O358" s="5"/>
    </row>
    <row r="359" spans="3:15">
      <c r="C359" s="5"/>
      <c r="G359" s="5"/>
      <c r="O359" s="5"/>
    </row>
    <row r="360" spans="3:15">
      <c r="C360" s="5"/>
      <c r="G360" s="5"/>
      <c r="O360" s="5"/>
    </row>
    <row r="361" spans="3:15">
      <c r="C361" s="5"/>
      <c r="G361" s="5"/>
      <c r="O361" s="5"/>
    </row>
    <row r="362" spans="3:15">
      <c r="C362" s="5"/>
      <c r="G362" s="5"/>
      <c r="O362" s="5"/>
    </row>
    <row r="363" spans="3:15">
      <c r="C363" s="5"/>
      <c r="G363" s="5"/>
      <c r="O363" s="5"/>
    </row>
    <row r="364" spans="3:15">
      <c r="C364" s="5"/>
      <c r="G364" s="5"/>
      <c r="O364" s="5"/>
    </row>
    <row r="365" spans="3:15">
      <c r="C365" s="5"/>
      <c r="G365" s="5"/>
      <c r="O365" s="5"/>
    </row>
    <row r="366" spans="3:15">
      <c r="C366" s="5"/>
      <c r="G366" s="5"/>
      <c r="O366" s="5"/>
    </row>
    <row r="367" spans="3:15">
      <c r="C367" s="5"/>
      <c r="G367" s="5"/>
      <c r="O367" s="5"/>
    </row>
    <row r="368" spans="3:15">
      <c r="C368" s="5"/>
      <c r="G368" s="5"/>
      <c r="O368" s="5"/>
    </row>
    <row r="369" spans="3:15">
      <c r="C369" s="5"/>
      <c r="G369" s="5"/>
      <c r="O369" s="5"/>
    </row>
    <row r="370" spans="3:15">
      <c r="C370" s="5"/>
      <c r="G370" s="5"/>
      <c r="O370" s="5"/>
    </row>
    <row r="371" spans="3:15">
      <c r="C371" s="5"/>
      <c r="G371" s="5"/>
      <c r="O371" s="5"/>
    </row>
    <row r="372" spans="3:15">
      <c r="C372" s="5"/>
      <c r="G372" s="5"/>
      <c r="O372" s="5"/>
    </row>
    <row r="373" spans="3:15">
      <c r="C373" s="5"/>
      <c r="G373" s="5"/>
      <c r="O373" s="5"/>
    </row>
    <row r="374" spans="3:15">
      <c r="C374" s="5"/>
      <c r="G374" s="5"/>
      <c r="O374" s="5"/>
    </row>
    <row r="375" spans="3:15">
      <c r="C375" s="5"/>
      <c r="G375" s="5"/>
      <c r="O375" s="5"/>
    </row>
    <row r="376" spans="3:15">
      <c r="C376" s="5"/>
      <c r="G376" s="5"/>
      <c r="O376" s="5"/>
    </row>
    <row r="377" spans="3:15">
      <c r="C377" s="5"/>
      <c r="G377" s="5"/>
      <c r="O377" s="5"/>
    </row>
    <row r="378" spans="3:15">
      <c r="C378" s="5"/>
      <c r="G378" s="5"/>
      <c r="O378" s="5"/>
    </row>
    <row r="379" spans="3:15">
      <c r="C379" s="5"/>
      <c r="G379" s="5"/>
      <c r="O379" s="5"/>
    </row>
    <row r="380" spans="3:15">
      <c r="C380" s="5"/>
      <c r="G380" s="5"/>
      <c r="O380" s="5"/>
    </row>
    <row r="381" spans="3:15">
      <c r="C381" s="5"/>
      <c r="G381" s="5"/>
      <c r="O381" s="5"/>
    </row>
    <row r="382" spans="3:15">
      <c r="C382" s="5"/>
      <c r="G382" s="5"/>
      <c r="O382" s="5"/>
    </row>
    <row r="383" spans="3:15">
      <c r="C383" s="5"/>
      <c r="G383" s="5"/>
      <c r="O383" s="5"/>
    </row>
    <row r="384" spans="3:15">
      <c r="C384" s="5"/>
      <c r="G384" s="5"/>
      <c r="O384" s="5"/>
    </row>
    <row r="385" spans="3:15">
      <c r="C385" s="5"/>
      <c r="G385" s="5"/>
      <c r="O385" s="5"/>
    </row>
    <row r="386" spans="3:15">
      <c r="C386" s="5"/>
      <c r="G386" s="5"/>
      <c r="O386" s="5"/>
    </row>
    <row r="387" spans="3:15">
      <c r="C387" s="5"/>
      <c r="G387" s="5"/>
      <c r="O387" s="5"/>
    </row>
    <row r="388" spans="3:15">
      <c r="C388" s="5"/>
      <c r="G388" s="5"/>
      <c r="O388" s="5"/>
    </row>
    <row r="389" spans="3:15">
      <c r="C389" s="5"/>
      <c r="G389" s="5"/>
      <c r="O389" s="5"/>
    </row>
    <row r="390" spans="3:15">
      <c r="C390" s="5"/>
      <c r="G390" s="5"/>
      <c r="O390" s="5"/>
    </row>
    <row r="391" spans="3:15">
      <c r="C391" s="5"/>
      <c r="G391" s="5"/>
      <c r="O391" s="5"/>
    </row>
    <row r="392" spans="3:15">
      <c r="C392" s="5"/>
      <c r="G392" s="5"/>
      <c r="O392" s="5"/>
    </row>
    <row r="393" spans="3:15">
      <c r="C393" s="5"/>
      <c r="G393" s="5"/>
      <c r="O393" s="5"/>
    </row>
    <row r="394" spans="3:15">
      <c r="C394" s="5"/>
      <c r="G394" s="5"/>
      <c r="O394" s="5"/>
    </row>
    <row r="395" spans="3:15">
      <c r="C395" s="5"/>
      <c r="G395" s="5"/>
      <c r="O395" s="5"/>
    </row>
    <row r="396" spans="3:15">
      <c r="C396" s="5"/>
      <c r="G396" s="5"/>
      <c r="O396" s="5"/>
    </row>
    <row r="397" spans="3:15">
      <c r="C397" s="5"/>
      <c r="G397" s="5"/>
      <c r="O397" s="5"/>
    </row>
    <row r="398" spans="3:15">
      <c r="C398" s="5"/>
      <c r="G398" s="5"/>
      <c r="O398" s="5"/>
    </row>
    <row r="399" spans="3:15">
      <c r="C399" s="5"/>
      <c r="G399" s="5"/>
      <c r="O399" s="5"/>
    </row>
    <row r="400" spans="3:15">
      <c r="C400" s="5"/>
      <c r="G400" s="5"/>
      <c r="O400" s="5"/>
    </row>
    <row r="401" spans="3:15">
      <c r="C401" s="5"/>
      <c r="G401" s="5"/>
      <c r="O401" s="5"/>
    </row>
    <row r="402" spans="3:15">
      <c r="C402" s="5"/>
      <c r="G402" s="5"/>
      <c r="O402" s="5"/>
    </row>
    <row r="403" spans="3:15">
      <c r="C403" s="5"/>
      <c r="G403" s="5"/>
      <c r="O403" s="5"/>
    </row>
    <row r="404" spans="3:15">
      <c r="C404" s="5"/>
      <c r="G404" s="5"/>
      <c r="O404" s="5"/>
    </row>
    <row r="405" spans="3:15">
      <c r="C405" s="5"/>
      <c r="G405" s="5"/>
      <c r="O405" s="5"/>
    </row>
    <row r="406" spans="3:15">
      <c r="C406" s="5"/>
      <c r="G406" s="5"/>
      <c r="O406" s="5"/>
    </row>
    <row r="407" spans="3:15">
      <c r="C407" s="5"/>
      <c r="G407" s="5"/>
      <c r="O407" s="5"/>
    </row>
    <row r="408" spans="3:15">
      <c r="C408" s="5"/>
      <c r="G408" s="5"/>
      <c r="O408" s="5"/>
    </row>
    <row r="409" spans="3:15">
      <c r="C409" s="5"/>
      <c r="G409" s="5"/>
      <c r="O409" s="5"/>
    </row>
    <row r="410" spans="3:15">
      <c r="C410" s="5"/>
      <c r="G410" s="5"/>
      <c r="O410" s="5"/>
    </row>
    <row r="411" spans="3:15">
      <c r="C411" s="5"/>
      <c r="G411" s="5"/>
      <c r="O411" s="5"/>
    </row>
    <row r="412" spans="3:15">
      <c r="C412" s="5"/>
      <c r="G412" s="5"/>
      <c r="O412" s="5"/>
    </row>
    <row r="413" spans="3:15">
      <c r="C413" s="5"/>
      <c r="G413" s="5"/>
      <c r="O413" s="5"/>
    </row>
    <row r="414" spans="3:15">
      <c r="C414" s="5"/>
      <c r="G414" s="5"/>
      <c r="O414" s="5"/>
    </row>
    <row r="415" spans="3:15">
      <c r="C415" s="5"/>
      <c r="G415" s="5"/>
      <c r="O415" s="5"/>
    </row>
    <row r="416" spans="3:15">
      <c r="C416" s="5"/>
      <c r="G416" s="5"/>
      <c r="O416" s="5"/>
    </row>
    <row r="417" spans="3:15">
      <c r="C417" s="5"/>
      <c r="G417" s="5"/>
      <c r="O417" s="5"/>
    </row>
    <row r="418" spans="3:15">
      <c r="C418" s="5"/>
      <c r="G418" s="5"/>
      <c r="O418" s="5"/>
    </row>
    <row r="419" spans="3:15">
      <c r="C419" s="5"/>
      <c r="G419" s="5"/>
      <c r="O419" s="5"/>
    </row>
    <row r="420" spans="3:15">
      <c r="C420" s="5"/>
      <c r="G420" s="5"/>
      <c r="O420" s="5"/>
    </row>
    <row r="421" spans="3:15">
      <c r="C421" s="5"/>
      <c r="G421" s="5"/>
      <c r="O421" s="5"/>
    </row>
    <row r="422" spans="3:15">
      <c r="C422" s="5"/>
      <c r="G422" s="5"/>
      <c r="O422" s="5"/>
    </row>
    <row r="423" spans="3:15">
      <c r="C423" s="5"/>
      <c r="G423" s="5"/>
      <c r="O423" s="5"/>
    </row>
    <row r="424" spans="3:15">
      <c r="C424" s="5"/>
      <c r="G424" s="5"/>
      <c r="O424" s="5"/>
    </row>
    <row r="425" spans="3:15">
      <c r="C425" s="5"/>
      <c r="G425" s="5"/>
      <c r="O425" s="5"/>
    </row>
    <row r="426" spans="3:15">
      <c r="C426" s="5"/>
      <c r="G426" s="5"/>
      <c r="O426" s="5"/>
    </row>
    <row r="427" spans="3:15">
      <c r="C427" s="5"/>
      <c r="G427" s="5"/>
      <c r="O427" s="5"/>
    </row>
    <row r="428" spans="3:15">
      <c r="C428" s="5"/>
      <c r="G428" s="5"/>
      <c r="O428" s="5"/>
    </row>
    <row r="429" spans="3:15">
      <c r="C429" s="5"/>
      <c r="G429" s="5"/>
      <c r="O429" s="5"/>
    </row>
    <row r="430" spans="3:15">
      <c r="C430" s="5"/>
      <c r="G430" s="5"/>
      <c r="O430" s="5"/>
    </row>
    <row r="431" spans="3:15">
      <c r="C431" s="5"/>
      <c r="G431" s="5"/>
      <c r="O431" s="5"/>
    </row>
    <row r="432" spans="3:15">
      <c r="C432" s="5"/>
      <c r="G432" s="5"/>
      <c r="O432" s="5"/>
    </row>
    <row r="433" spans="3:15">
      <c r="C433" s="5"/>
      <c r="G433" s="5"/>
      <c r="O433" s="5"/>
    </row>
    <row r="434" spans="3:15">
      <c r="C434" s="5"/>
      <c r="G434" s="5"/>
      <c r="O434" s="5"/>
    </row>
    <row r="435" spans="3:15">
      <c r="C435" s="5"/>
      <c r="G435" s="5"/>
      <c r="O435" s="5"/>
    </row>
    <row r="436" spans="3:15">
      <c r="C436" s="5"/>
      <c r="G436" s="5"/>
      <c r="O436" s="5"/>
    </row>
    <row r="437" spans="3:15">
      <c r="C437" s="5"/>
      <c r="G437" s="5"/>
      <c r="O437" s="5"/>
    </row>
    <row r="438" spans="3:15">
      <c r="C438" s="5"/>
      <c r="G438" s="5"/>
      <c r="O438" s="5"/>
    </row>
    <row r="439" spans="3:15">
      <c r="C439" s="5"/>
      <c r="G439" s="5"/>
      <c r="O439" s="5"/>
    </row>
    <row r="440" spans="3:15">
      <c r="C440" s="5"/>
      <c r="G440" s="5"/>
      <c r="O440" s="5"/>
    </row>
    <row r="441" spans="3:15">
      <c r="C441" s="5"/>
      <c r="G441" s="5"/>
      <c r="O441" s="5"/>
    </row>
    <row r="442" spans="3:15">
      <c r="C442" s="5"/>
      <c r="G442" s="5"/>
      <c r="O442" s="5"/>
    </row>
    <row r="443" spans="3:15">
      <c r="C443" s="5"/>
      <c r="G443" s="5"/>
      <c r="O443" s="5"/>
    </row>
    <row r="444" spans="3:15">
      <c r="C444" s="5"/>
      <c r="G444" s="5"/>
      <c r="O444" s="5"/>
    </row>
    <row r="445" spans="3:15">
      <c r="C445" s="5"/>
      <c r="G445" s="5"/>
      <c r="O445" s="5"/>
    </row>
    <row r="446" spans="3:15">
      <c r="C446" s="5"/>
      <c r="G446" s="5"/>
      <c r="O446" s="5"/>
    </row>
    <row r="447" spans="3:15">
      <c r="C447" s="5"/>
      <c r="G447" s="5"/>
      <c r="O447" s="5"/>
    </row>
    <row r="448" spans="3:15">
      <c r="C448" s="5"/>
      <c r="G448" s="5"/>
      <c r="O448" s="5"/>
    </row>
    <row r="449" spans="3:15">
      <c r="C449" s="5"/>
      <c r="G449" s="5"/>
      <c r="O449" s="5"/>
    </row>
    <row r="450" spans="3:15">
      <c r="C450" s="5"/>
      <c r="G450" s="5"/>
      <c r="O450" s="5"/>
    </row>
    <row r="451" spans="3:15">
      <c r="C451" s="5"/>
      <c r="G451" s="5"/>
      <c r="O451" s="5"/>
    </row>
    <row r="452" spans="3:15">
      <c r="C452" s="5"/>
      <c r="G452" s="5"/>
      <c r="O452" s="5"/>
    </row>
    <row r="453" spans="3:15">
      <c r="C453" s="5"/>
      <c r="G453" s="5"/>
      <c r="O453" s="5"/>
    </row>
    <row r="454" spans="3:15">
      <c r="C454" s="5"/>
      <c r="G454" s="5"/>
      <c r="O454" s="5"/>
    </row>
    <row r="455" spans="3:15">
      <c r="C455" s="5"/>
      <c r="G455" s="5"/>
      <c r="O455" s="5"/>
    </row>
    <row r="456" spans="3:15">
      <c r="C456" s="5"/>
      <c r="G456" s="5"/>
      <c r="O456" s="5"/>
    </row>
    <row r="457" spans="3:15">
      <c r="C457" s="5"/>
      <c r="G457" s="5"/>
      <c r="O457" s="5"/>
    </row>
    <row r="458" spans="3:15">
      <c r="C458" s="5"/>
      <c r="G458" s="5"/>
      <c r="O458" s="5"/>
    </row>
    <row r="459" spans="3:15">
      <c r="C459" s="5"/>
      <c r="G459" s="5"/>
      <c r="O459" s="5"/>
    </row>
    <row r="460" spans="3:15">
      <c r="C460" s="5"/>
      <c r="G460" s="5"/>
      <c r="O460" s="5"/>
    </row>
    <row r="461" spans="3:15">
      <c r="C461" s="5"/>
      <c r="G461" s="5"/>
      <c r="O461" s="5"/>
    </row>
    <row r="462" spans="3:15">
      <c r="C462" s="5"/>
      <c r="G462" s="5"/>
      <c r="O462" s="5"/>
    </row>
    <row r="463" spans="3:15">
      <c r="C463" s="5"/>
      <c r="G463" s="5"/>
      <c r="O463" s="5"/>
    </row>
    <row r="464" spans="3:15">
      <c r="C464" s="5"/>
      <c r="G464" s="5"/>
      <c r="O464" s="5"/>
    </row>
    <row r="465" spans="3:15">
      <c r="C465" s="5"/>
      <c r="G465" s="5"/>
      <c r="O465" s="5"/>
    </row>
    <row r="466" spans="3:15">
      <c r="C466" s="5"/>
      <c r="G466" s="5"/>
      <c r="O466" s="5"/>
    </row>
    <row r="467" spans="3:15">
      <c r="C467" s="5"/>
      <c r="G467" s="5"/>
      <c r="O467" s="5"/>
    </row>
    <row r="468" spans="3:15">
      <c r="C468" s="5"/>
      <c r="G468" s="5"/>
      <c r="O468" s="5"/>
    </row>
    <row r="469" spans="3:15">
      <c r="C469" s="5"/>
      <c r="G469" s="5"/>
      <c r="O469" s="5"/>
    </row>
    <row r="470" spans="3:15">
      <c r="C470" s="5"/>
      <c r="G470" s="5"/>
      <c r="O470" s="5"/>
    </row>
    <row r="471" spans="3:15">
      <c r="C471" s="5"/>
      <c r="G471" s="5"/>
      <c r="O471" s="5"/>
    </row>
    <row r="472" spans="3:15">
      <c r="C472" s="5"/>
      <c r="G472" s="5"/>
      <c r="O472" s="5"/>
    </row>
    <row r="473" spans="3:15">
      <c r="C473" s="5"/>
      <c r="G473" s="5"/>
      <c r="O473" s="5"/>
    </row>
    <row r="474" spans="3:15">
      <c r="C474" s="5"/>
      <c r="G474" s="5"/>
      <c r="O474" s="5"/>
    </row>
    <row r="475" spans="3:15">
      <c r="C475" s="5"/>
      <c r="G475" s="5"/>
      <c r="O475" s="5"/>
    </row>
    <row r="476" spans="3:15">
      <c r="C476" s="5"/>
      <c r="G476" s="5"/>
      <c r="O476" s="5"/>
    </row>
    <row r="477" spans="3:15">
      <c r="C477" s="5"/>
      <c r="G477" s="5"/>
      <c r="O477" s="5"/>
    </row>
    <row r="478" spans="3:15">
      <c r="C478" s="5"/>
      <c r="G478" s="5"/>
      <c r="O478" s="5"/>
    </row>
    <row r="479" spans="3:15">
      <c r="C479" s="5"/>
      <c r="G479" s="5"/>
      <c r="O479" s="5"/>
    </row>
    <row r="480" spans="3:15">
      <c r="C480" s="5"/>
      <c r="G480" s="5"/>
      <c r="O480" s="5"/>
    </row>
    <row r="481" spans="3:15">
      <c r="C481" s="5"/>
      <c r="G481" s="5"/>
      <c r="O481" s="5"/>
    </row>
    <row r="482" spans="3:15">
      <c r="C482" s="5"/>
      <c r="G482" s="5"/>
      <c r="O482" s="5"/>
    </row>
    <row r="483" spans="3:15">
      <c r="C483" s="5"/>
      <c r="G483" s="5"/>
      <c r="O483" s="5"/>
    </row>
    <row r="484" spans="3:15">
      <c r="C484" s="5"/>
      <c r="G484" s="5"/>
      <c r="O484" s="5"/>
    </row>
    <row r="485" spans="3:15">
      <c r="C485" s="5"/>
      <c r="G485" s="5"/>
      <c r="O485" s="5"/>
    </row>
    <row r="486" spans="3:15">
      <c r="C486" s="5"/>
      <c r="G486" s="5"/>
      <c r="O486" s="5"/>
    </row>
    <row r="487" spans="3:15">
      <c r="C487" s="5"/>
      <c r="G487" s="5"/>
      <c r="O487" s="5"/>
    </row>
    <row r="488" spans="3:15">
      <c r="C488" s="5"/>
      <c r="G488" s="5"/>
      <c r="O488" s="5"/>
    </row>
    <row r="489" spans="3:15">
      <c r="C489" s="5"/>
      <c r="G489" s="5"/>
      <c r="O489" s="5"/>
    </row>
    <row r="490" spans="3:15">
      <c r="C490" s="5"/>
      <c r="G490" s="5"/>
      <c r="O490" s="5"/>
    </row>
    <row r="491" spans="3:15">
      <c r="C491" s="5"/>
      <c r="G491" s="5"/>
      <c r="O491" s="5"/>
    </row>
    <row r="492" spans="3:15">
      <c r="C492" s="5"/>
      <c r="G492" s="5"/>
      <c r="O492" s="5"/>
    </row>
    <row r="493" spans="3:15">
      <c r="C493" s="5"/>
      <c r="G493" s="5"/>
      <c r="O493" s="5"/>
    </row>
    <row r="494" spans="3:15">
      <c r="C494" s="5"/>
      <c r="G494" s="5"/>
      <c r="O494" s="5"/>
    </row>
    <row r="495" spans="3:15">
      <c r="C495" s="5"/>
      <c r="G495" s="5"/>
      <c r="O495" s="5"/>
    </row>
    <row r="496" spans="3:15">
      <c r="C496" s="5"/>
      <c r="G496" s="5"/>
      <c r="O496" s="5"/>
    </row>
    <row r="497" spans="3:15">
      <c r="C497" s="5"/>
      <c r="G497" s="5"/>
      <c r="O497" s="5"/>
    </row>
    <row r="498" spans="3:15">
      <c r="C498" s="5"/>
      <c r="G498" s="5"/>
      <c r="O498" s="5"/>
    </row>
    <row r="499" spans="3:15">
      <c r="C499" s="5"/>
      <c r="G499" s="5"/>
      <c r="O499" s="5"/>
    </row>
    <row r="500" spans="3:15">
      <c r="C500" s="5"/>
      <c r="G500" s="5"/>
      <c r="O500" s="5"/>
    </row>
  </sheetData>
  <mergeCells count="2">
    <mergeCell ref="A1:P1"/>
    <mergeCell ref="A2:P2"/>
  </mergeCells>
  <conditionalFormatting sqref="H4:H500">
    <cfRule type="expression" dxfId="30" priority="1">
      <formula>OR($H4="Blocked",$H4="Needs Action")</formula>
    </cfRule>
    <cfRule type="expression" dxfId="29" priority="2">
      <formula>OR($H4="Waiting on Others",$H4="Pending",$H4="Under Review")</formula>
    </cfRule>
    <cfRule type="expression" dxfId="28" priority="3">
      <formula>OR($H4="In Progress",$H4="Starts 20 May")</formula>
    </cfRule>
    <cfRule type="expression" dxfId="27" priority="4">
      <formula>OR($H4="Complete",$H4="Ready",$H4="Complete / Under Review")</formula>
    </cfRule>
  </conditionalFormatting>
  <conditionalFormatting sqref="M4:M500">
    <cfRule type="expression" dxfId="26" priority="5">
      <formula>$M4="No"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Lists!$A$4:$A$18</xm:f>
          </x14:formula1>
          <xm:sqref>H4:H500</xm:sqref>
        </x14:dataValidation>
        <x14:dataValidation type="list" xr:uid="{00000000-0002-0000-0700-000001000000}">
          <x14:formula1>
            <xm:f>Lists!$E$4:$E$5</xm:f>
          </x14:formula1>
          <xm:sqref>M4:M500</xm:sqref>
        </x14:dataValidation>
        <x14:dataValidation type="list" xr:uid="{00000000-0002-0000-0700-000002000000}">
          <x14:formula1>
            <xm:f>Lists!$G$4:$G$10</xm:f>
          </x14:formula1>
          <xm:sqref>K4:K500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00"/>
  <sheetViews>
    <sheetView topLeftCell="A17" workbookViewId="0">
      <selection activeCell="A52" sqref="A52"/>
    </sheetView>
  </sheetViews>
  <sheetFormatPr defaultRowHeight="14"/>
  <cols>
    <col min="1" max="1" width="18" customWidth="1"/>
    <col min="2" max="5" width="16" customWidth="1"/>
    <col min="6" max="6" width="14" customWidth="1"/>
    <col min="7" max="7" width="16" customWidth="1"/>
    <col min="8" max="10" width="14" customWidth="1"/>
    <col min="11" max="11" width="38" customWidth="1"/>
  </cols>
  <sheetData>
    <row r="1" spans="1:11" ht="20">
      <c r="A1" s="7" t="s">
        <v>229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>
      <c r="A2" s="9" t="s">
        <v>106</v>
      </c>
      <c r="B2" s="8"/>
      <c r="C2" s="8"/>
      <c r="D2" s="8"/>
      <c r="E2" s="8"/>
      <c r="F2" s="8"/>
      <c r="G2" s="8"/>
      <c r="H2" s="8"/>
      <c r="I2" s="8"/>
      <c r="J2" s="8"/>
      <c r="K2" s="8"/>
    </row>
    <row r="3" spans="1:11">
      <c r="A3" s="1" t="s">
        <v>107</v>
      </c>
      <c r="B3" s="1" t="s">
        <v>38</v>
      </c>
      <c r="C3" s="1" t="s">
        <v>230</v>
      </c>
      <c r="D3" s="1" t="s">
        <v>31</v>
      </c>
      <c r="E3" s="1" t="s">
        <v>212</v>
      </c>
      <c r="F3" s="1" t="s">
        <v>205</v>
      </c>
      <c r="G3" s="1" t="s">
        <v>231</v>
      </c>
      <c r="H3" s="1" t="s">
        <v>117</v>
      </c>
      <c r="I3" s="1" t="s">
        <v>118</v>
      </c>
      <c r="J3" s="1" t="s">
        <v>17</v>
      </c>
      <c r="K3" s="1" t="s">
        <v>18</v>
      </c>
    </row>
    <row r="4" spans="1:11">
      <c r="A4" s="2" t="s">
        <v>513</v>
      </c>
      <c r="B4" s="2" t="s">
        <v>49</v>
      </c>
      <c r="C4" s="2" t="s">
        <v>56</v>
      </c>
      <c r="D4" s="2" t="s">
        <v>101</v>
      </c>
      <c r="E4" s="2" t="s">
        <v>880</v>
      </c>
      <c r="F4" s="4"/>
      <c r="G4" s="2" t="s">
        <v>881</v>
      </c>
      <c r="H4" s="2" t="s">
        <v>46</v>
      </c>
      <c r="I4" s="2">
        <v>1</v>
      </c>
      <c r="J4" s="4">
        <v>46156</v>
      </c>
      <c r="K4" s="2" t="s">
        <v>779</v>
      </c>
    </row>
    <row r="5" spans="1:11">
      <c r="A5" s="2" t="s">
        <v>513</v>
      </c>
      <c r="B5" s="2" t="s">
        <v>59</v>
      </c>
      <c r="C5" s="2" t="s">
        <v>56</v>
      </c>
      <c r="D5" s="2" t="s">
        <v>101</v>
      </c>
      <c r="E5" s="2" t="s">
        <v>880</v>
      </c>
      <c r="F5" s="4"/>
      <c r="G5" s="2" t="s">
        <v>882</v>
      </c>
      <c r="H5" s="2" t="s">
        <v>46</v>
      </c>
      <c r="I5" s="2">
        <v>2</v>
      </c>
      <c r="J5" s="4">
        <v>46156</v>
      </c>
      <c r="K5" s="2"/>
    </row>
    <row r="6" spans="1:11">
      <c r="A6" s="2" t="s">
        <v>513</v>
      </c>
      <c r="B6" s="2" t="s">
        <v>68</v>
      </c>
      <c r="C6" s="2" t="s">
        <v>56</v>
      </c>
      <c r="D6" s="2" t="s">
        <v>101</v>
      </c>
      <c r="E6" s="2" t="s">
        <v>880</v>
      </c>
      <c r="F6" s="4"/>
      <c r="G6" s="2" t="s">
        <v>883</v>
      </c>
      <c r="H6" s="2" t="s">
        <v>46</v>
      </c>
      <c r="I6" s="2">
        <v>3</v>
      </c>
      <c r="J6" s="4">
        <v>46156</v>
      </c>
      <c r="K6" s="2"/>
    </row>
    <row r="7" spans="1:11">
      <c r="A7" s="2" t="s">
        <v>513</v>
      </c>
      <c r="B7" s="2" t="s">
        <v>77</v>
      </c>
      <c r="C7" s="2" t="s">
        <v>56</v>
      </c>
      <c r="D7" s="2" t="s">
        <v>101</v>
      </c>
      <c r="E7" s="2" t="s">
        <v>880</v>
      </c>
      <c r="F7" s="4"/>
      <c r="G7" s="2" t="s">
        <v>884</v>
      </c>
      <c r="H7" s="2" t="s">
        <v>46</v>
      </c>
      <c r="I7" s="2">
        <v>4</v>
      </c>
      <c r="J7" s="4">
        <v>46156</v>
      </c>
      <c r="K7" s="2"/>
    </row>
    <row r="8" spans="1:11">
      <c r="A8" s="2" t="s">
        <v>513</v>
      </c>
      <c r="B8" s="2" t="s">
        <v>60</v>
      </c>
      <c r="C8" s="2" t="s">
        <v>56</v>
      </c>
      <c r="D8" s="2" t="s">
        <v>101</v>
      </c>
      <c r="E8" s="2" t="s">
        <v>880</v>
      </c>
      <c r="F8" s="4"/>
      <c r="G8" s="2" t="s">
        <v>885</v>
      </c>
      <c r="H8" s="2" t="s">
        <v>46</v>
      </c>
      <c r="I8" s="2">
        <v>5</v>
      </c>
      <c r="J8" s="4">
        <v>46156</v>
      </c>
      <c r="K8" s="2"/>
    </row>
    <row r="9" spans="1:11">
      <c r="A9" s="2" t="s">
        <v>513</v>
      </c>
      <c r="B9" s="2" t="s">
        <v>90</v>
      </c>
      <c r="C9" s="2" t="s">
        <v>56</v>
      </c>
      <c r="D9" s="2" t="s">
        <v>101</v>
      </c>
      <c r="E9" s="2" t="s">
        <v>619</v>
      </c>
      <c r="F9" s="4">
        <v>46152</v>
      </c>
      <c r="G9" s="2" t="s">
        <v>886</v>
      </c>
      <c r="H9" s="2" t="s">
        <v>46</v>
      </c>
      <c r="I9" s="2">
        <v>6</v>
      </c>
      <c r="J9" s="4">
        <v>46156</v>
      </c>
      <c r="K9" s="2"/>
    </row>
    <row r="10" spans="1:11">
      <c r="A10" s="2"/>
      <c r="B10" s="2"/>
      <c r="C10" s="2"/>
      <c r="D10" s="2"/>
      <c r="E10" s="2"/>
      <c r="F10" s="4"/>
      <c r="G10" s="2"/>
      <c r="H10" s="2"/>
      <c r="I10" s="2"/>
      <c r="J10" s="4"/>
      <c r="K10" s="2"/>
    </row>
    <row r="11" spans="1:11">
      <c r="A11" s="2" t="s">
        <v>515</v>
      </c>
      <c r="B11" s="2" t="s">
        <v>49</v>
      </c>
      <c r="C11" s="2" t="s">
        <v>56</v>
      </c>
      <c r="D11" s="2" t="s">
        <v>101</v>
      </c>
      <c r="E11" s="2" t="s">
        <v>880</v>
      </c>
      <c r="F11" s="4"/>
      <c r="G11" s="2" t="s">
        <v>887</v>
      </c>
      <c r="H11" s="2" t="s">
        <v>46</v>
      </c>
      <c r="I11" s="2">
        <v>1</v>
      </c>
      <c r="J11" s="4">
        <v>46156</v>
      </c>
      <c r="K11" s="2" t="s">
        <v>787</v>
      </c>
    </row>
    <row r="12" spans="1:11">
      <c r="A12" s="2" t="s">
        <v>515</v>
      </c>
      <c r="B12" s="2" t="s">
        <v>59</v>
      </c>
      <c r="C12" s="2" t="s">
        <v>56</v>
      </c>
      <c r="D12" s="2" t="s">
        <v>101</v>
      </c>
      <c r="E12" s="2" t="s">
        <v>880</v>
      </c>
      <c r="F12" s="4"/>
      <c r="G12" s="2" t="s">
        <v>888</v>
      </c>
      <c r="H12" s="2" t="s">
        <v>46</v>
      </c>
      <c r="I12" s="2">
        <v>2</v>
      </c>
      <c r="J12" s="4">
        <v>46156</v>
      </c>
      <c r="K12" s="2"/>
    </row>
    <row r="13" spans="1:11">
      <c r="A13" s="2" t="s">
        <v>515</v>
      </c>
      <c r="B13" s="2" t="s">
        <v>68</v>
      </c>
      <c r="C13" s="2" t="s">
        <v>56</v>
      </c>
      <c r="D13" s="2" t="s">
        <v>101</v>
      </c>
      <c r="E13" s="2" t="s">
        <v>880</v>
      </c>
      <c r="F13" s="4"/>
      <c r="G13" s="2" t="s">
        <v>889</v>
      </c>
      <c r="H13" s="2" t="s">
        <v>46</v>
      </c>
      <c r="I13" s="2">
        <v>3</v>
      </c>
      <c r="J13" s="4">
        <v>46156</v>
      </c>
      <c r="K13" s="2"/>
    </row>
    <row r="14" spans="1:11">
      <c r="A14" s="2" t="s">
        <v>515</v>
      </c>
      <c r="B14" s="2" t="s">
        <v>77</v>
      </c>
      <c r="C14" s="2" t="s">
        <v>56</v>
      </c>
      <c r="D14" s="2" t="s">
        <v>101</v>
      </c>
      <c r="E14" s="2" t="s">
        <v>880</v>
      </c>
      <c r="F14" s="4"/>
      <c r="G14" s="2" t="s">
        <v>890</v>
      </c>
      <c r="H14" s="2" t="s">
        <v>46</v>
      </c>
      <c r="I14" s="2">
        <v>4</v>
      </c>
      <c r="J14" s="4">
        <v>46156</v>
      </c>
      <c r="K14" s="2"/>
    </row>
    <row r="15" spans="1:11">
      <c r="A15" s="2" t="s">
        <v>515</v>
      </c>
      <c r="B15" s="2" t="s">
        <v>60</v>
      </c>
      <c r="C15" s="2" t="s">
        <v>56</v>
      </c>
      <c r="D15" s="2" t="s">
        <v>101</v>
      </c>
      <c r="E15" s="2" t="s">
        <v>880</v>
      </c>
      <c r="F15" s="4"/>
      <c r="G15" s="2" t="s">
        <v>891</v>
      </c>
      <c r="H15" s="2" t="s">
        <v>46</v>
      </c>
      <c r="I15" s="2">
        <v>5</v>
      </c>
      <c r="J15" s="4">
        <v>46156</v>
      </c>
      <c r="K15" s="2"/>
    </row>
    <row r="16" spans="1:11">
      <c r="A16" s="2" t="s">
        <v>515</v>
      </c>
      <c r="B16" s="2" t="s">
        <v>90</v>
      </c>
      <c r="C16" s="2" t="s">
        <v>56</v>
      </c>
      <c r="D16" s="2" t="s">
        <v>101</v>
      </c>
      <c r="E16" s="2" t="s">
        <v>331</v>
      </c>
      <c r="F16" s="4">
        <v>46155</v>
      </c>
      <c r="G16" s="2" t="s">
        <v>892</v>
      </c>
      <c r="H16" s="2" t="s">
        <v>46</v>
      </c>
      <c r="I16" s="2">
        <v>6</v>
      </c>
      <c r="J16" s="4">
        <v>46156</v>
      </c>
      <c r="K16" s="2"/>
    </row>
    <row r="17" spans="1:11">
      <c r="A17" s="2"/>
      <c r="B17" s="2"/>
      <c r="C17" s="2"/>
      <c r="D17" s="2"/>
      <c r="E17" s="2"/>
      <c r="F17" s="4"/>
      <c r="G17" s="2"/>
      <c r="H17" s="2"/>
      <c r="I17" s="2"/>
      <c r="J17" s="4"/>
      <c r="K17" s="2"/>
    </row>
    <row r="18" spans="1:11">
      <c r="A18" s="2" t="s">
        <v>518</v>
      </c>
      <c r="B18" s="2" t="s">
        <v>49</v>
      </c>
      <c r="C18" s="2" t="s">
        <v>46</v>
      </c>
      <c r="D18" s="2" t="s">
        <v>100</v>
      </c>
      <c r="E18" s="2" t="s">
        <v>175</v>
      </c>
      <c r="F18" s="4"/>
      <c r="G18" s="2" t="s">
        <v>893</v>
      </c>
      <c r="H18" s="2" t="s">
        <v>46</v>
      </c>
      <c r="I18" s="2">
        <v>1</v>
      </c>
      <c r="J18" s="4">
        <v>46156</v>
      </c>
      <c r="K18" s="2" t="s">
        <v>537</v>
      </c>
    </row>
    <row r="19" spans="1:11">
      <c r="A19" s="2" t="s">
        <v>518</v>
      </c>
      <c r="B19" s="2" t="s">
        <v>59</v>
      </c>
      <c r="C19" s="2" t="s">
        <v>56</v>
      </c>
      <c r="D19" s="2" t="s">
        <v>894</v>
      </c>
      <c r="E19" s="2" t="s">
        <v>175</v>
      </c>
      <c r="F19" s="4"/>
      <c r="G19" s="2" t="s">
        <v>895</v>
      </c>
      <c r="H19" s="2" t="s">
        <v>46</v>
      </c>
      <c r="I19" s="2">
        <v>2</v>
      </c>
      <c r="J19" s="4">
        <v>46156</v>
      </c>
      <c r="K19" s="2"/>
    </row>
    <row r="20" spans="1:11">
      <c r="A20" s="2" t="s">
        <v>518</v>
      </c>
      <c r="B20" s="2" t="s">
        <v>68</v>
      </c>
      <c r="C20" s="2" t="s">
        <v>46</v>
      </c>
      <c r="D20" s="2" t="s">
        <v>100</v>
      </c>
      <c r="E20" s="2" t="s">
        <v>175</v>
      </c>
      <c r="F20" s="4"/>
      <c r="G20" s="2" t="s">
        <v>896</v>
      </c>
      <c r="H20" s="2" t="s">
        <v>46</v>
      </c>
      <c r="I20" s="2">
        <v>3</v>
      </c>
      <c r="J20" s="4">
        <v>46156</v>
      </c>
      <c r="K20" s="2"/>
    </row>
    <row r="21" spans="1:11">
      <c r="A21" s="2" t="s">
        <v>518</v>
      </c>
      <c r="B21" s="2" t="s">
        <v>77</v>
      </c>
      <c r="C21" s="2" t="s">
        <v>46</v>
      </c>
      <c r="D21" s="2" t="s">
        <v>100</v>
      </c>
      <c r="E21" s="2" t="s">
        <v>228</v>
      </c>
      <c r="F21" s="4"/>
      <c r="G21" s="2" t="s">
        <v>897</v>
      </c>
      <c r="H21" s="2" t="s">
        <v>46</v>
      </c>
      <c r="I21" s="2">
        <v>4</v>
      </c>
      <c r="J21" s="4">
        <v>46156</v>
      </c>
      <c r="K21" s="2" t="s">
        <v>898</v>
      </c>
    </row>
    <row r="22" spans="1:11">
      <c r="A22" s="2" t="s">
        <v>518</v>
      </c>
      <c r="B22" s="2" t="s">
        <v>60</v>
      </c>
      <c r="C22" s="2" t="s">
        <v>46</v>
      </c>
      <c r="D22" s="2" t="s">
        <v>100</v>
      </c>
      <c r="E22" s="2" t="s">
        <v>175</v>
      </c>
      <c r="F22" s="4"/>
      <c r="G22" s="2" t="s">
        <v>899</v>
      </c>
      <c r="H22" s="2" t="s">
        <v>46</v>
      </c>
      <c r="I22" s="2">
        <v>5</v>
      </c>
      <c r="J22" s="4">
        <v>46156</v>
      </c>
      <c r="K22" s="2"/>
    </row>
    <row r="23" spans="1:11" ht="56">
      <c r="A23" s="2" t="s">
        <v>518</v>
      </c>
      <c r="B23" s="2" t="s">
        <v>90</v>
      </c>
      <c r="C23" s="2" t="s">
        <v>56</v>
      </c>
      <c r="D23" s="2" t="s">
        <v>52</v>
      </c>
      <c r="E23" s="2" t="s">
        <v>169</v>
      </c>
      <c r="F23" s="4" t="s">
        <v>207</v>
      </c>
      <c r="G23" s="2" t="s">
        <v>900</v>
      </c>
      <c r="H23" s="2" t="s">
        <v>46</v>
      </c>
      <c r="I23" s="2">
        <v>6</v>
      </c>
      <c r="J23" s="4">
        <v>46156</v>
      </c>
      <c r="K23" s="2"/>
    </row>
    <row r="24" spans="1:11">
      <c r="A24" s="2"/>
      <c r="B24" s="2"/>
      <c r="C24" s="2"/>
      <c r="D24" s="2"/>
      <c r="E24" s="2"/>
      <c r="F24" s="4"/>
      <c r="G24" s="2"/>
      <c r="H24" s="2"/>
      <c r="I24" s="2"/>
      <c r="J24" s="4"/>
      <c r="K24" s="2"/>
    </row>
    <row r="25" spans="1:11">
      <c r="A25" s="2" t="s">
        <v>520</v>
      </c>
      <c r="B25" s="2" t="s">
        <v>49</v>
      </c>
      <c r="C25" s="2" t="s">
        <v>46</v>
      </c>
      <c r="D25" s="2" t="s">
        <v>100</v>
      </c>
      <c r="E25" s="2" t="s">
        <v>175</v>
      </c>
      <c r="F25" s="4"/>
      <c r="G25" s="2" t="s">
        <v>562</v>
      </c>
      <c r="H25" s="2" t="s">
        <v>46</v>
      </c>
      <c r="I25" s="2">
        <v>1</v>
      </c>
      <c r="J25" s="4">
        <v>46156</v>
      </c>
      <c r="K25" s="2" t="s">
        <v>554</v>
      </c>
    </row>
    <row r="26" spans="1:11">
      <c r="A26" s="2" t="s">
        <v>520</v>
      </c>
      <c r="B26" s="2" t="s">
        <v>59</v>
      </c>
      <c r="C26" s="2" t="s">
        <v>901</v>
      </c>
      <c r="D26" s="2" t="s">
        <v>71</v>
      </c>
      <c r="E26" s="2" t="s">
        <v>571</v>
      </c>
      <c r="F26" s="4">
        <v>46157</v>
      </c>
      <c r="G26" s="2" t="s">
        <v>902</v>
      </c>
      <c r="H26" s="2" t="s">
        <v>46</v>
      </c>
      <c r="I26" s="2">
        <v>2</v>
      </c>
      <c r="J26" s="4">
        <v>46156</v>
      </c>
      <c r="K26" s="2" t="s">
        <v>903</v>
      </c>
    </row>
    <row r="27" spans="1:11">
      <c r="A27" s="2" t="s">
        <v>520</v>
      </c>
      <c r="B27" s="2" t="s">
        <v>68</v>
      </c>
      <c r="C27" s="2" t="s">
        <v>56</v>
      </c>
      <c r="D27" s="2" t="s">
        <v>86</v>
      </c>
      <c r="E27" s="2" t="s">
        <v>196</v>
      </c>
      <c r="F27" s="4">
        <v>46157</v>
      </c>
      <c r="G27" s="2" t="s">
        <v>904</v>
      </c>
      <c r="H27" s="2" t="s">
        <v>46</v>
      </c>
      <c r="I27" s="2">
        <v>3</v>
      </c>
      <c r="J27" s="4">
        <v>46156</v>
      </c>
      <c r="K27" s="2"/>
    </row>
    <row r="28" spans="1:11">
      <c r="A28" s="2" t="s">
        <v>520</v>
      </c>
      <c r="B28" s="2" t="s">
        <v>77</v>
      </c>
      <c r="C28" s="2" t="s">
        <v>56</v>
      </c>
      <c r="D28" s="2" t="s">
        <v>894</v>
      </c>
      <c r="E28" s="2" t="s">
        <v>196</v>
      </c>
      <c r="F28" s="4"/>
      <c r="G28" s="2" t="s">
        <v>905</v>
      </c>
      <c r="H28" s="2" t="s">
        <v>46</v>
      </c>
      <c r="I28" s="2">
        <v>4</v>
      </c>
      <c r="J28" s="4">
        <v>46156</v>
      </c>
      <c r="K28" s="2"/>
    </row>
    <row r="29" spans="1:11">
      <c r="A29" s="2" t="s">
        <v>520</v>
      </c>
      <c r="B29" s="2" t="s">
        <v>60</v>
      </c>
      <c r="C29" s="2" t="s">
        <v>46</v>
      </c>
      <c r="D29" s="2" t="s">
        <v>100</v>
      </c>
      <c r="E29" s="2" t="s">
        <v>175</v>
      </c>
      <c r="F29" s="4"/>
      <c r="G29" s="2" t="s">
        <v>232</v>
      </c>
      <c r="H29" s="2" t="s">
        <v>46</v>
      </c>
      <c r="I29" s="2">
        <v>5</v>
      </c>
      <c r="J29" s="4">
        <v>46156</v>
      </c>
      <c r="K29" s="2"/>
    </row>
    <row r="30" spans="1:11">
      <c r="A30" s="2" t="s">
        <v>520</v>
      </c>
      <c r="B30" s="2" t="s">
        <v>90</v>
      </c>
      <c r="C30" s="2" t="s">
        <v>46</v>
      </c>
      <c r="D30" s="2" t="s">
        <v>100</v>
      </c>
      <c r="E30" s="2" t="s">
        <v>399</v>
      </c>
      <c r="F30" s="4"/>
      <c r="G30" s="2" t="s">
        <v>906</v>
      </c>
      <c r="H30" s="2" t="s">
        <v>46</v>
      </c>
      <c r="I30" s="2">
        <v>6</v>
      </c>
      <c r="J30" s="4">
        <v>46156</v>
      </c>
      <c r="K30" s="2"/>
    </row>
    <row r="31" spans="1:11">
      <c r="A31" s="2"/>
      <c r="B31" s="2"/>
      <c r="C31" s="2"/>
      <c r="D31" s="2"/>
      <c r="E31" s="2"/>
      <c r="F31" s="4"/>
      <c r="G31" s="2"/>
      <c r="H31" s="2"/>
      <c r="I31" s="2"/>
      <c r="J31" s="4"/>
      <c r="K31" s="2"/>
    </row>
    <row r="32" spans="1:11">
      <c r="A32" s="2" t="s">
        <v>522</v>
      </c>
      <c r="B32" s="2" t="s">
        <v>49</v>
      </c>
      <c r="C32" s="2" t="s">
        <v>56</v>
      </c>
      <c r="D32" s="2" t="s">
        <v>80</v>
      </c>
      <c r="E32" s="2" t="s">
        <v>175</v>
      </c>
      <c r="F32" s="4">
        <v>46162</v>
      </c>
      <c r="G32" s="2" t="s">
        <v>585</v>
      </c>
      <c r="H32" s="2" t="s">
        <v>46</v>
      </c>
      <c r="I32" s="2">
        <v>1</v>
      </c>
      <c r="J32" s="4">
        <v>46156</v>
      </c>
      <c r="K32" s="2" t="s">
        <v>579</v>
      </c>
    </row>
    <row r="33" spans="1:11">
      <c r="A33" s="2" t="s">
        <v>522</v>
      </c>
      <c r="B33" s="2" t="s">
        <v>59</v>
      </c>
      <c r="C33" s="2" t="s">
        <v>56</v>
      </c>
      <c r="D33" s="2" t="s">
        <v>894</v>
      </c>
      <c r="E33" s="2" t="s">
        <v>175</v>
      </c>
      <c r="F33" s="4"/>
      <c r="G33" s="2" t="s">
        <v>907</v>
      </c>
      <c r="H33" s="2" t="s">
        <v>46</v>
      </c>
      <c r="I33" s="2">
        <v>2</v>
      </c>
      <c r="J33" s="4">
        <v>46156</v>
      </c>
      <c r="K33" s="2"/>
    </row>
    <row r="34" spans="1:11">
      <c r="A34" s="2" t="s">
        <v>522</v>
      </c>
      <c r="B34" s="2" t="s">
        <v>68</v>
      </c>
      <c r="C34" s="2" t="s">
        <v>56</v>
      </c>
      <c r="D34" s="2" t="s">
        <v>52</v>
      </c>
      <c r="E34" s="2" t="s">
        <v>175</v>
      </c>
      <c r="F34" s="4"/>
      <c r="G34" s="2" t="s">
        <v>908</v>
      </c>
      <c r="H34" s="2" t="s">
        <v>46</v>
      </c>
      <c r="I34" s="2">
        <v>3</v>
      </c>
      <c r="J34" s="4">
        <v>46156</v>
      </c>
      <c r="K34" s="2"/>
    </row>
    <row r="35" spans="1:11">
      <c r="A35" s="2" t="s">
        <v>522</v>
      </c>
      <c r="B35" s="2" t="s">
        <v>77</v>
      </c>
      <c r="C35" s="2" t="s">
        <v>56</v>
      </c>
      <c r="D35" s="2" t="s">
        <v>894</v>
      </c>
      <c r="E35" s="2" t="s">
        <v>196</v>
      </c>
      <c r="F35" s="4"/>
      <c r="G35" s="2" t="s">
        <v>909</v>
      </c>
      <c r="H35" s="2" t="s">
        <v>46</v>
      </c>
      <c r="I35" s="2">
        <v>4</v>
      </c>
      <c r="J35" s="4">
        <v>46156</v>
      </c>
      <c r="K35" s="2"/>
    </row>
    <row r="36" spans="1:11">
      <c r="A36" s="2" t="s">
        <v>522</v>
      </c>
      <c r="B36" s="2" t="s">
        <v>60</v>
      </c>
      <c r="C36" s="2" t="s">
        <v>56</v>
      </c>
      <c r="D36" s="2" t="s">
        <v>52</v>
      </c>
      <c r="E36" s="2" t="s">
        <v>175</v>
      </c>
      <c r="F36" s="4"/>
      <c r="G36" s="2" t="s">
        <v>910</v>
      </c>
      <c r="H36" s="2" t="s">
        <v>46</v>
      </c>
      <c r="I36" s="2">
        <v>5</v>
      </c>
      <c r="J36" s="4">
        <v>46156</v>
      </c>
      <c r="K36" s="2"/>
    </row>
    <row r="37" spans="1:11">
      <c r="A37" s="2" t="s">
        <v>522</v>
      </c>
      <c r="B37" s="2" t="s">
        <v>90</v>
      </c>
      <c r="C37" s="2" t="s">
        <v>56</v>
      </c>
      <c r="D37" s="2" t="s">
        <v>42</v>
      </c>
      <c r="E37" s="2" t="s">
        <v>169</v>
      </c>
      <c r="F37" s="4" t="s">
        <v>911</v>
      </c>
      <c r="G37" s="2" t="s">
        <v>912</v>
      </c>
      <c r="H37" s="2" t="s">
        <v>46</v>
      </c>
      <c r="I37" s="2">
        <v>6</v>
      </c>
      <c r="J37" s="4">
        <v>46156</v>
      </c>
      <c r="K37" s="2"/>
    </row>
    <row r="38" spans="1:11">
      <c r="A38" s="2"/>
      <c r="B38" s="2"/>
      <c r="C38" s="2"/>
      <c r="D38" s="2"/>
      <c r="E38" s="2"/>
      <c r="F38" s="4"/>
      <c r="G38" s="2"/>
      <c r="H38" s="2"/>
      <c r="I38" s="2"/>
      <c r="J38" s="4"/>
      <c r="K38" s="2"/>
    </row>
    <row r="39" spans="1:11">
      <c r="A39" s="2" t="s">
        <v>524</v>
      </c>
      <c r="B39" s="2" t="s">
        <v>49</v>
      </c>
      <c r="C39" s="2" t="s">
        <v>56</v>
      </c>
      <c r="D39" s="2" t="s">
        <v>42</v>
      </c>
      <c r="E39" s="2" t="s">
        <v>175</v>
      </c>
      <c r="F39" s="4" t="s">
        <v>701</v>
      </c>
      <c r="G39" s="2" t="s">
        <v>593</v>
      </c>
      <c r="H39" s="2" t="s">
        <v>46</v>
      </c>
      <c r="I39" s="2">
        <v>1</v>
      </c>
      <c r="J39" s="4">
        <v>46156</v>
      </c>
      <c r="K39" s="2" t="s">
        <v>589</v>
      </c>
    </row>
    <row r="40" spans="1:11">
      <c r="A40" s="2" t="s">
        <v>524</v>
      </c>
      <c r="B40" s="2" t="s">
        <v>59</v>
      </c>
      <c r="C40" s="2" t="s">
        <v>56</v>
      </c>
      <c r="D40" s="2" t="s">
        <v>42</v>
      </c>
      <c r="E40" s="2" t="s">
        <v>175</v>
      </c>
      <c r="F40" s="4" t="s">
        <v>701</v>
      </c>
      <c r="G40" s="2" t="s">
        <v>913</v>
      </c>
      <c r="H40" s="2" t="s">
        <v>46</v>
      </c>
      <c r="I40" s="2">
        <v>2</v>
      </c>
      <c r="J40" s="4">
        <v>46156</v>
      </c>
      <c r="K40" s="2"/>
    </row>
    <row r="41" spans="1:11">
      <c r="A41" s="2" t="s">
        <v>524</v>
      </c>
      <c r="B41" s="2" t="s">
        <v>68</v>
      </c>
      <c r="C41" s="2" t="s">
        <v>56</v>
      </c>
      <c r="D41" s="2" t="s">
        <v>42</v>
      </c>
      <c r="E41" s="2" t="s">
        <v>175</v>
      </c>
      <c r="F41" s="4" t="s">
        <v>701</v>
      </c>
      <c r="G41" s="2" t="s">
        <v>914</v>
      </c>
      <c r="H41" s="2" t="s">
        <v>46</v>
      </c>
      <c r="I41" s="2">
        <v>3</v>
      </c>
      <c r="J41" s="4">
        <v>46156</v>
      </c>
      <c r="K41" s="2"/>
    </row>
    <row r="42" spans="1:11">
      <c r="A42" s="2" t="s">
        <v>524</v>
      </c>
      <c r="B42" s="2" t="s">
        <v>77</v>
      </c>
      <c r="C42" s="2" t="s">
        <v>56</v>
      </c>
      <c r="D42" s="2" t="s">
        <v>42</v>
      </c>
      <c r="E42" s="2" t="s">
        <v>196</v>
      </c>
      <c r="F42" s="4" t="s">
        <v>701</v>
      </c>
      <c r="G42" s="2" t="s">
        <v>915</v>
      </c>
      <c r="H42" s="2" t="s">
        <v>46</v>
      </c>
      <c r="I42" s="2">
        <v>4</v>
      </c>
      <c r="J42" s="4">
        <v>46156</v>
      </c>
      <c r="K42" s="2"/>
    </row>
    <row r="43" spans="1:11">
      <c r="A43" s="2" t="s">
        <v>524</v>
      </c>
      <c r="B43" s="2" t="s">
        <v>60</v>
      </c>
      <c r="C43" s="2" t="s">
        <v>56</v>
      </c>
      <c r="D43" s="2" t="s">
        <v>42</v>
      </c>
      <c r="E43" s="2" t="s">
        <v>175</v>
      </c>
      <c r="F43" s="4" t="s">
        <v>701</v>
      </c>
      <c r="G43" s="2" t="s">
        <v>916</v>
      </c>
      <c r="H43" s="2" t="s">
        <v>46</v>
      </c>
      <c r="I43" s="2">
        <v>5</v>
      </c>
      <c r="J43" s="4">
        <v>46156</v>
      </c>
      <c r="K43" s="2"/>
    </row>
    <row r="44" spans="1:11">
      <c r="A44" s="2" t="s">
        <v>524</v>
      </c>
      <c r="B44" s="2" t="s">
        <v>90</v>
      </c>
      <c r="C44" s="2" t="s">
        <v>56</v>
      </c>
      <c r="D44" s="2" t="s">
        <v>42</v>
      </c>
      <c r="E44" s="2" t="s">
        <v>169</v>
      </c>
      <c r="F44" s="4" t="s">
        <v>701</v>
      </c>
      <c r="G44" s="2" t="s">
        <v>917</v>
      </c>
      <c r="H44" s="2" t="s">
        <v>46</v>
      </c>
      <c r="I44" s="2">
        <v>6</v>
      </c>
      <c r="J44" s="4">
        <v>46156</v>
      </c>
      <c r="K44" s="2"/>
    </row>
    <row r="45" spans="1:11">
      <c r="A45" s="2"/>
      <c r="B45" s="2"/>
      <c r="C45" s="2"/>
      <c r="D45" s="2"/>
      <c r="E45" s="2"/>
      <c r="F45" s="4"/>
      <c r="G45" s="2"/>
      <c r="H45" s="2"/>
      <c r="I45" s="2"/>
      <c r="J45" s="4"/>
      <c r="K45" s="2"/>
    </row>
    <row r="46" spans="1:11">
      <c r="A46" s="2" t="s">
        <v>526</v>
      </c>
      <c r="B46" s="2" t="s">
        <v>49</v>
      </c>
      <c r="C46" s="2" t="s">
        <v>56</v>
      </c>
      <c r="D46" s="2" t="s">
        <v>42</v>
      </c>
      <c r="E46" s="2" t="s">
        <v>134</v>
      </c>
      <c r="F46" s="4" t="s">
        <v>918</v>
      </c>
      <c r="G46" s="2" t="s">
        <v>919</v>
      </c>
      <c r="H46" s="2" t="s">
        <v>46</v>
      </c>
      <c r="I46" s="2">
        <v>1</v>
      </c>
      <c r="J46" s="4">
        <v>46156</v>
      </c>
      <c r="K46" s="2" t="s">
        <v>596</v>
      </c>
    </row>
    <row r="47" spans="1:11">
      <c r="A47" s="2" t="s">
        <v>526</v>
      </c>
      <c r="B47" s="2" t="s">
        <v>59</v>
      </c>
      <c r="C47" s="2" t="s">
        <v>56</v>
      </c>
      <c r="D47" s="2" t="s">
        <v>42</v>
      </c>
      <c r="E47" s="2" t="s">
        <v>134</v>
      </c>
      <c r="F47" s="4" t="s">
        <v>918</v>
      </c>
      <c r="G47" s="2" t="s">
        <v>919</v>
      </c>
      <c r="H47" s="2" t="s">
        <v>46</v>
      </c>
      <c r="I47" s="2">
        <v>2</v>
      </c>
      <c r="J47" s="4">
        <v>46156</v>
      </c>
      <c r="K47" s="2"/>
    </row>
    <row r="48" spans="1:11">
      <c r="A48" s="2" t="s">
        <v>526</v>
      </c>
      <c r="B48" s="2" t="s">
        <v>68</v>
      </c>
      <c r="C48" s="2" t="s">
        <v>56</v>
      </c>
      <c r="D48" s="2" t="s">
        <v>42</v>
      </c>
      <c r="E48" s="2" t="s">
        <v>134</v>
      </c>
      <c r="F48" s="4" t="s">
        <v>918</v>
      </c>
      <c r="G48" s="2" t="s">
        <v>919</v>
      </c>
      <c r="H48" s="2" t="s">
        <v>46</v>
      </c>
      <c r="I48" s="2">
        <v>3</v>
      </c>
      <c r="J48" s="4">
        <v>46156</v>
      </c>
      <c r="K48" s="2"/>
    </row>
    <row r="49" spans="1:11">
      <c r="A49" s="2" t="s">
        <v>526</v>
      </c>
      <c r="B49" s="2" t="s">
        <v>77</v>
      </c>
      <c r="C49" s="2" t="s">
        <v>56</v>
      </c>
      <c r="D49" s="2" t="s">
        <v>42</v>
      </c>
      <c r="E49" s="2" t="s">
        <v>134</v>
      </c>
      <c r="F49" s="4" t="s">
        <v>918</v>
      </c>
      <c r="G49" s="2" t="s">
        <v>919</v>
      </c>
      <c r="H49" s="2" t="s">
        <v>46</v>
      </c>
      <c r="I49" s="2">
        <v>4</v>
      </c>
      <c r="J49" s="4">
        <v>46156</v>
      </c>
      <c r="K49" s="2"/>
    </row>
    <row r="50" spans="1:11">
      <c r="A50" s="2" t="s">
        <v>526</v>
      </c>
      <c r="B50" s="2" t="s">
        <v>60</v>
      </c>
      <c r="C50" s="2" t="s">
        <v>56</v>
      </c>
      <c r="D50" s="2" t="s">
        <v>42</v>
      </c>
      <c r="E50" s="2" t="s">
        <v>134</v>
      </c>
      <c r="F50" s="4" t="s">
        <v>918</v>
      </c>
      <c r="G50" s="2" t="s">
        <v>919</v>
      </c>
      <c r="H50" s="2" t="s">
        <v>46</v>
      </c>
      <c r="I50" s="2">
        <v>5</v>
      </c>
      <c r="J50" s="4">
        <v>46156</v>
      </c>
      <c r="K50" s="2"/>
    </row>
    <row r="51" spans="1:11">
      <c r="A51" s="2" t="s">
        <v>526</v>
      </c>
      <c r="B51" s="2" t="s">
        <v>90</v>
      </c>
      <c r="C51" s="2" t="s">
        <v>56</v>
      </c>
      <c r="D51" s="2" t="s">
        <v>42</v>
      </c>
      <c r="E51" s="2" t="s">
        <v>134</v>
      </c>
      <c r="F51" s="4" t="s">
        <v>918</v>
      </c>
      <c r="G51" s="2" t="s">
        <v>919</v>
      </c>
      <c r="H51" s="2" t="s">
        <v>46</v>
      </c>
      <c r="I51" s="2">
        <v>6</v>
      </c>
      <c r="J51" s="4">
        <v>46156</v>
      </c>
      <c r="K51" s="2"/>
    </row>
    <row r="52" spans="1:11">
      <c r="A52" s="2"/>
      <c r="B52" s="2"/>
      <c r="C52" s="2"/>
      <c r="D52" s="2"/>
      <c r="E52" s="2"/>
      <c r="F52" s="4"/>
      <c r="G52" s="2"/>
      <c r="H52" s="2"/>
      <c r="I52" s="2"/>
      <c r="J52" s="4"/>
      <c r="K52" s="2"/>
    </row>
    <row r="53" spans="1:11">
      <c r="A53" s="2" t="s">
        <v>529</v>
      </c>
      <c r="B53" s="2" t="s">
        <v>49</v>
      </c>
      <c r="C53" s="2" t="s">
        <v>56</v>
      </c>
      <c r="D53" s="2" t="s">
        <v>62</v>
      </c>
      <c r="E53" s="2" t="s">
        <v>920</v>
      </c>
      <c r="F53" s="4" t="s">
        <v>72</v>
      </c>
      <c r="G53" s="2" t="s">
        <v>921</v>
      </c>
      <c r="H53" s="2" t="s">
        <v>46</v>
      </c>
      <c r="I53" s="2">
        <v>1</v>
      </c>
      <c r="J53" s="4">
        <v>46156</v>
      </c>
      <c r="K53" s="2" t="s">
        <v>603</v>
      </c>
    </row>
    <row r="54" spans="1:11">
      <c r="A54" s="6" t="s">
        <v>529</v>
      </c>
      <c r="B54" s="6" t="s">
        <v>59</v>
      </c>
      <c r="C54" s="6" t="s">
        <v>56</v>
      </c>
      <c r="D54" s="6" t="s">
        <v>42</v>
      </c>
      <c r="E54" s="6" t="s">
        <v>175</v>
      </c>
      <c r="F54" s="5" t="s">
        <v>72</v>
      </c>
      <c r="G54" s="6" t="s">
        <v>922</v>
      </c>
      <c r="H54" s="6" t="s">
        <v>46</v>
      </c>
      <c r="I54" s="6">
        <v>2</v>
      </c>
      <c r="J54" s="5">
        <v>46156</v>
      </c>
      <c r="K54" s="6"/>
    </row>
    <row r="55" spans="1:11">
      <c r="A55" s="6" t="s">
        <v>529</v>
      </c>
      <c r="B55" s="6" t="s">
        <v>68</v>
      </c>
      <c r="C55" s="6" t="s">
        <v>46</v>
      </c>
      <c r="D55" s="6" t="s">
        <v>62</v>
      </c>
      <c r="E55" s="6" t="s">
        <v>923</v>
      </c>
      <c r="F55" s="5"/>
      <c r="G55" s="6" t="s">
        <v>924</v>
      </c>
      <c r="H55" s="6" t="s">
        <v>46</v>
      </c>
      <c r="I55" s="6">
        <v>3</v>
      </c>
      <c r="J55" s="5">
        <v>46156</v>
      </c>
      <c r="K55" s="6"/>
    </row>
    <row r="56" spans="1:11">
      <c r="A56" s="6" t="s">
        <v>529</v>
      </c>
      <c r="B56" s="6" t="s">
        <v>77</v>
      </c>
      <c r="C56" s="6" t="s">
        <v>56</v>
      </c>
      <c r="D56" s="6" t="s">
        <v>42</v>
      </c>
      <c r="E56" s="6" t="s">
        <v>196</v>
      </c>
      <c r="F56" s="5" t="s">
        <v>72</v>
      </c>
      <c r="G56" s="6" t="s">
        <v>925</v>
      </c>
      <c r="H56" s="6" t="s">
        <v>46</v>
      </c>
      <c r="I56" s="6">
        <v>4</v>
      </c>
      <c r="J56" s="5">
        <v>46156</v>
      </c>
      <c r="K56" s="6"/>
    </row>
    <row r="57" spans="1:11">
      <c r="A57" s="6" t="s">
        <v>529</v>
      </c>
      <c r="B57" s="6" t="s">
        <v>60</v>
      </c>
      <c r="C57" s="6" t="s">
        <v>46</v>
      </c>
      <c r="D57" s="6" t="s">
        <v>62</v>
      </c>
      <c r="E57" s="6" t="s">
        <v>175</v>
      </c>
      <c r="F57" s="5"/>
      <c r="G57" s="6" t="s">
        <v>926</v>
      </c>
      <c r="H57" s="6" t="s">
        <v>46</v>
      </c>
      <c r="I57" s="6">
        <v>5</v>
      </c>
      <c r="J57" s="5">
        <v>46156</v>
      </c>
      <c r="K57" s="6"/>
    </row>
    <row r="58" spans="1:11">
      <c r="A58" s="6" t="s">
        <v>529</v>
      </c>
      <c r="B58" s="6" t="s">
        <v>90</v>
      </c>
      <c r="C58" s="6" t="s">
        <v>56</v>
      </c>
      <c r="D58" s="6" t="s">
        <v>42</v>
      </c>
      <c r="E58" s="6" t="s">
        <v>169</v>
      </c>
      <c r="F58" s="5" t="s">
        <v>927</v>
      </c>
      <c r="G58" s="6" t="s">
        <v>928</v>
      </c>
      <c r="H58" s="6" t="s">
        <v>46</v>
      </c>
      <c r="I58" s="6">
        <v>6</v>
      </c>
      <c r="J58" s="5">
        <v>46156</v>
      </c>
      <c r="K58" s="6"/>
    </row>
    <row r="59" spans="1:11">
      <c r="A59" s="6"/>
      <c r="B59" s="6"/>
      <c r="C59" s="6"/>
      <c r="D59" s="6"/>
      <c r="E59" s="6"/>
      <c r="F59" s="5"/>
      <c r="G59" s="6"/>
      <c r="H59" s="6"/>
      <c r="I59" s="6"/>
      <c r="J59" s="5"/>
      <c r="K59" s="6"/>
    </row>
    <row r="60" spans="1:11">
      <c r="A60" s="6" t="s">
        <v>530</v>
      </c>
      <c r="B60" s="6" t="s">
        <v>49</v>
      </c>
      <c r="C60" s="6" t="s">
        <v>46</v>
      </c>
      <c r="D60" s="6" t="s">
        <v>62</v>
      </c>
      <c r="E60" s="6" t="s">
        <v>929</v>
      </c>
      <c r="F60" s="5"/>
      <c r="G60" s="6" t="s">
        <v>612</v>
      </c>
      <c r="H60" s="6" t="s">
        <v>46</v>
      </c>
      <c r="I60" s="6">
        <v>1</v>
      </c>
      <c r="J60" s="5">
        <v>46156</v>
      </c>
      <c r="K60" s="6" t="s">
        <v>609</v>
      </c>
    </row>
    <row r="61" spans="1:11">
      <c r="A61" s="6" t="s">
        <v>530</v>
      </c>
      <c r="B61" s="6" t="s">
        <v>59</v>
      </c>
      <c r="C61" s="6" t="s">
        <v>56</v>
      </c>
      <c r="D61" s="6" t="s">
        <v>42</v>
      </c>
      <c r="E61" s="6" t="s">
        <v>175</v>
      </c>
      <c r="F61" s="5" t="s">
        <v>72</v>
      </c>
      <c r="G61" s="6" t="s">
        <v>930</v>
      </c>
      <c r="H61" s="6" t="s">
        <v>46</v>
      </c>
      <c r="I61" s="6">
        <v>2</v>
      </c>
      <c r="J61" s="5">
        <v>46156</v>
      </c>
      <c r="K61" s="6"/>
    </row>
    <row r="62" spans="1:11">
      <c r="A62" s="6" t="s">
        <v>530</v>
      </c>
      <c r="B62" s="6" t="s">
        <v>68</v>
      </c>
      <c r="C62" s="6" t="s">
        <v>46</v>
      </c>
      <c r="D62" s="6" t="s">
        <v>62</v>
      </c>
      <c r="E62" s="6" t="s">
        <v>175</v>
      </c>
      <c r="F62" s="5"/>
      <c r="G62" s="6" t="s">
        <v>931</v>
      </c>
      <c r="H62" s="6" t="s">
        <v>46</v>
      </c>
      <c r="I62" s="6">
        <v>3</v>
      </c>
      <c r="J62" s="5">
        <v>46156</v>
      </c>
      <c r="K62" s="6"/>
    </row>
    <row r="63" spans="1:11">
      <c r="A63" s="6" t="s">
        <v>530</v>
      </c>
      <c r="B63" s="6" t="s">
        <v>77</v>
      </c>
      <c r="C63" s="6" t="s">
        <v>56</v>
      </c>
      <c r="D63" s="6" t="s">
        <v>52</v>
      </c>
      <c r="E63" s="6" t="s">
        <v>196</v>
      </c>
      <c r="F63" s="5" t="s">
        <v>932</v>
      </c>
      <c r="G63" s="6" t="s">
        <v>933</v>
      </c>
      <c r="H63" s="6" t="s">
        <v>46</v>
      </c>
      <c r="I63" s="6">
        <v>4</v>
      </c>
      <c r="J63" s="5">
        <v>46156</v>
      </c>
      <c r="K63" s="6"/>
    </row>
    <row r="64" spans="1:11">
      <c r="A64" s="6" t="s">
        <v>530</v>
      </c>
      <c r="B64" s="6" t="s">
        <v>60</v>
      </c>
      <c r="C64" s="6" t="s">
        <v>901</v>
      </c>
      <c r="D64" s="6" t="s">
        <v>62</v>
      </c>
      <c r="E64" s="6" t="s">
        <v>175</v>
      </c>
      <c r="F64" s="5"/>
      <c r="G64" s="6" t="s">
        <v>934</v>
      </c>
      <c r="H64" s="6" t="s">
        <v>46</v>
      </c>
      <c r="I64" s="6">
        <v>5</v>
      </c>
      <c r="J64" s="5">
        <v>46156</v>
      </c>
      <c r="K64" s="6" t="s">
        <v>935</v>
      </c>
    </row>
    <row r="65" spans="1:11">
      <c r="A65" s="6" t="s">
        <v>530</v>
      </c>
      <c r="B65" s="6" t="s">
        <v>90</v>
      </c>
      <c r="C65" s="6" t="s">
        <v>56</v>
      </c>
      <c r="D65" s="6" t="s">
        <v>42</v>
      </c>
      <c r="E65" s="6" t="s">
        <v>169</v>
      </c>
      <c r="F65" s="5" t="s">
        <v>936</v>
      </c>
      <c r="G65" s="6" t="s">
        <v>928</v>
      </c>
      <c r="H65" s="6" t="s">
        <v>46</v>
      </c>
      <c r="I65" s="6">
        <v>6</v>
      </c>
      <c r="J65" s="5">
        <v>46156</v>
      </c>
      <c r="K65" s="6"/>
    </row>
    <row r="66" spans="1:11">
      <c r="A66" s="6"/>
      <c r="B66" s="6"/>
      <c r="C66" s="6"/>
      <c r="D66" s="6"/>
      <c r="E66" s="6"/>
      <c r="F66" s="5"/>
      <c r="G66" s="6"/>
      <c r="H66" s="6"/>
      <c r="I66" s="6"/>
      <c r="J66" s="5"/>
      <c r="K66" s="6"/>
    </row>
    <row r="67" spans="1:11">
      <c r="A67" s="6" t="s">
        <v>534</v>
      </c>
      <c r="B67" s="6" t="s">
        <v>49</v>
      </c>
      <c r="C67" s="6" t="s">
        <v>56</v>
      </c>
      <c r="D67" s="6" t="s">
        <v>937</v>
      </c>
      <c r="E67" s="6" t="s">
        <v>311</v>
      </c>
      <c r="F67" s="5"/>
      <c r="G67" s="6" t="s">
        <v>938</v>
      </c>
      <c r="H67" s="6" t="s">
        <v>56</v>
      </c>
      <c r="I67" s="6">
        <v>1</v>
      </c>
      <c r="J67" s="5">
        <v>46156</v>
      </c>
      <c r="K67" s="6" t="s">
        <v>616</v>
      </c>
    </row>
    <row r="68" spans="1:11">
      <c r="A68" s="6" t="s">
        <v>534</v>
      </c>
      <c r="B68" s="6" t="s">
        <v>59</v>
      </c>
      <c r="C68" s="6" t="s">
        <v>56</v>
      </c>
      <c r="D68" s="6" t="s">
        <v>937</v>
      </c>
      <c r="E68" s="6" t="s">
        <v>311</v>
      </c>
      <c r="F68" s="5"/>
      <c r="G68" s="6" t="s">
        <v>938</v>
      </c>
      <c r="H68" s="6" t="s">
        <v>56</v>
      </c>
      <c r="I68" s="6">
        <v>2</v>
      </c>
      <c r="J68" s="5">
        <v>46156</v>
      </c>
      <c r="K68" s="6"/>
    </row>
    <row r="69" spans="1:11">
      <c r="A69" s="6" t="s">
        <v>534</v>
      </c>
      <c r="B69" s="6" t="s">
        <v>68</v>
      </c>
      <c r="C69" s="6" t="s">
        <v>56</v>
      </c>
      <c r="D69" s="6" t="s">
        <v>937</v>
      </c>
      <c r="E69" s="6" t="s">
        <v>311</v>
      </c>
      <c r="F69" s="5"/>
      <c r="G69" s="6" t="s">
        <v>938</v>
      </c>
      <c r="H69" s="6" t="s">
        <v>56</v>
      </c>
      <c r="I69" s="6">
        <v>3</v>
      </c>
      <c r="J69" s="5">
        <v>46156</v>
      </c>
      <c r="K69" s="6"/>
    </row>
    <row r="70" spans="1:11">
      <c r="A70" s="6" t="s">
        <v>534</v>
      </c>
      <c r="B70" s="6" t="s">
        <v>77</v>
      </c>
      <c r="C70" s="6" t="s">
        <v>56</v>
      </c>
      <c r="D70" s="6" t="s">
        <v>937</v>
      </c>
      <c r="E70" s="6" t="s">
        <v>311</v>
      </c>
      <c r="F70" s="5"/>
      <c r="G70" s="6" t="s">
        <v>938</v>
      </c>
      <c r="H70" s="6" t="s">
        <v>56</v>
      </c>
      <c r="I70" s="6">
        <v>4</v>
      </c>
      <c r="J70" s="5">
        <v>46156</v>
      </c>
      <c r="K70" s="6"/>
    </row>
    <row r="71" spans="1:11">
      <c r="A71" s="6" t="s">
        <v>534</v>
      </c>
      <c r="B71" s="6" t="s">
        <v>60</v>
      </c>
      <c r="C71" s="6" t="s">
        <v>56</v>
      </c>
      <c r="D71" s="6" t="s">
        <v>937</v>
      </c>
      <c r="E71" s="6" t="s">
        <v>311</v>
      </c>
      <c r="F71" s="5"/>
      <c r="G71" s="6" t="s">
        <v>938</v>
      </c>
      <c r="H71" s="6" t="s">
        <v>56</v>
      </c>
      <c r="I71" s="6">
        <v>5</v>
      </c>
      <c r="J71" s="5">
        <v>46156</v>
      </c>
      <c r="K71" s="6"/>
    </row>
    <row r="72" spans="1:11">
      <c r="A72" s="6" t="s">
        <v>534</v>
      </c>
      <c r="B72" s="6" t="s">
        <v>90</v>
      </c>
      <c r="C72" s="6" t="s">
        <v>56</v>
      </c>
      <c r="D72" s="6" t="s">
        <v>937</v>
      </c>
      <c r="E72" s="6" t="s">
        <v>311</v>
      </c>
      <c r="F72" s="5"/>
      <c r="G72" s="6" t="s">
        <v>938</v>
      </c>
      <c r="H72" s="6" t="s">
        <v>56</v>
      </c>
      <c r="I72" s="6">
        <v>6</v>
      </c>
      <c r="J72" s="5">
        <v>46156</v>
      </c>
      <c r="K72" s="6"/>
    </row>
    <row r="73" spans="1:11">
      <c r="A73" s="6"/>
      <c r="B73" s="6"/>
      <c r="C73" s="6"/>
      <c r="D73" s="6"/>
      <c r="E73" s="6"/>
      <c r="F73" s="5"/>
      <c r="G73" s="6"/>
      <c r="H73" s="6"/>
      <c r="I73" s="6"/>
      <c r="J73" s="5"/>
      <c r="K73" s="6"/>
    </row>
    <row r="74" spans="1:11">
      <c r="A74" s="6" t="s">
        <v>535</v>
      </c>
      <c r="B74" s="6" t="s">
        <v>49</v>
      </c>
      <c r="C74" s="6" t="s">
        <v>56</v>
      </c>
      <c r="D74" s="6" t="s">
        <v>42</v>
      </c>
      <c r="E74" s="6" t="s">
        <v>72</v>
      </c>
      <c r="F74" s="5" t="s">
        <v>772</v>
      </c>
      <c r="G74" s="6" t="s">
        <v>939</v>
      </c>
      <c r="H74" s="6" t="s">
        <v>46</v>
      </c>
      <c r="I74" s="6">
        <v>1</v>
      </c>
      <c r="J74" s="5">
        <v>46156</v>
      </c>
      <c r="K74" s="6" t="s">
        <v>940</v>
      </c>
    </row>
    <row r="75" spans="1:11">
      <c r="A75" s="6" t="s">
        <v>535</v>
      </c>
      <c r="B75" s="6" t="s">
        <v>59</v>
      </c>
      <c r="C75" s="6" t="s">
        <v>56</v>
      </c>
      <c r="D75" s="6" t="s">
        <v>42</v>
      </c>
      <c r="E75" s="6" t="s">
        <v>72</v>
      </c>
      <c r="F75" s="5" t="s">
        <v>772</v>
      </c>
      <c r="G75" s="6" t="s">
        <v>939</v>
      </c>
      <c r="H75" s="6" t="s">
        <v>46</v>
      </c>
      <c r="I75" s="6">
        <v>2</v>
      </c>
      <c r="J75" s="5">
        <v>46156</v>
      </c>
      <c r="K75" s="6"/>
    </row>
    <row r="76" spans="1:11">
      <c r="A76" s="6" t="s">
        <v>535</v>
      </c>
      <c r="B76" s="6" t="s">
        <v>68</v>
      </c>
      <c r="C76" s="6" t="s">
        <v>56</v>
      </c>
      <c r="D76" s="6" t="s">
        <v>42</v>
      </c>
      <c r="E76" s="6" t="s">
        <v>72</v>
      </c>
      <c r="F76" s="5" t="s">
        <v>772</v>
      </c>
      <c r="G76" s="6" t="s">
        <v>939</v>
      </c>
      <c r="H76" s="6" t="s">
        <v>46</v>
      </c>
      <c r="I76" s="6">
        <v>3</v>
      </c>
      <c r="J76" s="5">
        <v>46156</v>
      </c>
      <c r="K76" s="6"/>
    </row>
    <row r="77" spans="1:11">
      <c r="A77" s="6" t="s">
        <v>535</v>
      </c>
      <c r="B77" s="6" t="s">
        <v>77</v>
      </c>
      <c r="C77" s="6" t="s">
        <v>56</v>
      </c>
      <c r="D77" s="6" t="s">
        <v>42</v>
      </c>
      <c r="E77" s="6" t="s">
        <v>72</v>
      </c>
      <c r="F77" s="5" t="s">
        <v>772</v>
      </c>
      <c r="G77" s="6" t="s">
        <v>939</v>
      </c>
      <c r="H77" s="6" t="s">
        <v>46</v>
      </c>
      <c r="I77" s="6">
        <v>4</v>
      </c>
      <c r="J77" s="5">
        <v>46156</v>
      </c>
      <c r="K77" s="6"/>
    </row>
    <row r="78" spans="1:11">
      <c r="A78" s="6" t="s">
        <v>535</v>
      </c>
      <c r="B78" s="6" t="s">
        <v>60</v>
      </c>
      <c r="C78" s="6" t="s">
        <v>56</v>
      </c>
      <c r="D78" s="6" t="s">
        <v>42</v>
      </c>
      <c r="E78" s="6" t="s">
        <v>72</v>
      </c>
      <c r="F78" s="5" t="s">
        <v>772</v>
      </c>
      <c r="G78" s="6" t="s">
        <v>939</v>
      </c>
      <c r="H78" s="6" t="s">
        <v>46</v>
      </c>
      <c r="I78" s="6">
        <v>5</v>
      </c>
      <c r="J78" s="5">
        <v>46156</v>
      </c>
      <c r="K78" s="6"/>
    </row>
    <row r="79" spans="1:11">
      <c r="A79" s="6" t="s">
        <v>535</v>
      </c>
      <c r="B79" s="6" t="s">
        <v>90</v>
      </c>
      <c r="C79" s="6" t="s">
        <v>56</v>
      </c>
      <c r="D79" s="6" t="s">
        <v>42</v>
      </c>
      <c r="E79" s="6" t="s">
        <v>72</v>
      </c>
      <c r="F79" s="5" t="s">
        <v>772</v>
      </c>
      <c r="G79" s="6" t="s">
        <v>939</v>
      </c>
      <c r="H79" s="6" t="s">
        <v>46</v>
      </c>
      <c r="I79" s="6">
        <v>6</v>
      </c>
      <c r="J79" s="5">
        <v>46156</v>
      </c>
      <c r="K79" s="6"/>
    </row>
    <row r="80" spans="1:11">
      <c r="F80" s="5"/>
      <c r="J80" s="5"/>
    </row>
    <row r="81" spans="6:10">
      <c r="F81" s="5"/>
      <c r="J81" s="5"/>
    </row>
    <row r="82" spans="6:10">
      <c r="F82" s="5"/>
      <c r="J82" s="5"/>
    </row>
    <row r="83" spans="6:10">
      <c r="F83" s="5"/>
      <c r="J83" s="5"/>
    </row>
    <row r="84" spans="6:10">
      <c r="F84" s="5"/>
      <c r="J84" s="5"/>
    </row>
    <row r="85" spans="6:10">
      <c r="F85" s="5"/>
      <c r="J85" s="5"/>
    </row>
    <row r="86" spans="6:10">
      <c r="F86" s="5"/>
      <c r="J86" s="5"/>
    </row>
    <row r="87" spans="6:10">
      <c r="F87" s="5"/>
      <c r="J87" s="5"/>
    </row>
    <row r="88" spans="6:10">
      <c r="F88" s="5"/>
      <c r="J88" s="5"/>
    </row>
    <row r="89" spans="6:10">
      <c r="F89" s="5"/>
      <c r="J89" s="5"/>
    </row>
    <row r="90" spans="6:10">
      <c r="F90" s="5"/>
      <c r="J90" s="5"/>
    </row>
    <row r="91" spans="6:10">
      <c r="F91" s="5"/>
      <c r="J91" s="5"/>
    </row>
    <row r="92" spans="6:10">
      <c r="F92" s="5"/>
      <c r="J92" s="5"/>
    </row>
    <row r="93" spans="6:10">
      <c r="F93" s="5"/>
      <c r="J93" s="5"/>
    </row>
    <row r="94" spans="6:10">
      <c r="F94" s="5"/>
      <c r="J94" s="5"/>
    </row>
    <row r="95" spans="6:10">
      <c r="F95" s="5"/>
      <c r="J95" s="5"/>
    </row>
    <row r="96" spans="6:10">
      <c r="F96" s="5"/>
      <c r="J96" s="5"/>
    </row>
    <row r="97" spans="6:10">
      <c r="F97" s="5"/>
      <c r="J97" s="5"/>
    </row>
    <row r="98" spans="6:10">
      <c r="F98" s="5"/>
      <c r="J98" s="5"/>
    </row>
    <row r="99" spans="6:10">
      <c r="F99" s="5"/>
      <c r="J99" s="5"/>
    </row>
    <row r="100" spans="6:10">
      <c r="F100" s="5"/>
      <c r="J100" s="5"/>
    </row>
    <row r="101" spans="6:10">
      <c r="F101" s="5"/>
      <c r="J101" s="5"/>
    </row>
    <row r="102" spans="6:10">
      <c r="F102" s="5"/>
      <c r="J102" s="5"/>
    </row>
    <row r="103" spans="6:10">
      <c r="F103" s="5"/>
      <c r="J103" s="5"/>
    </row>
    <row r="104" spans="6:10">
      <c r="F104" s="5"/>
      <c r="J104" s="5"/>
    </row>
    <row r="105" spans="6:10">
      <c r="F105" s="5"/>
      <c r="J105" s="5"/>
    </row>
    <row r="106" spans="6:10">
      <c r="F106" s="5"/>
      <c r="J106" s="5"/>
    </row>
    <row r="107" spans="6:10">
      <c r="F107" s="5"/>
      <c r="J107" s="5"/>
    </row>
    <row r="108" spans="6:10">
      <c r="F108" s="5"/>
      <c r="J108" s="5"/>
    </row>
    <row r="109" spans="6:10">
      <c r="F109" s="5"/>
      <c r="J109" s="5"/>
    </row>
    <row r="110" spans="6:10">
      <c r="F110" s="5"/>
      <c r="J110" s="5"/>
    </row>
    <row r="111" spans="6:10">
      <c r="F111" s="5"/>
      <c r="J111" s="5"/>
    </row>
    <row r="112" spans="6:10">
      <c r="F112" s="5"/>
      <c r="J112" s="5"/>
    </row>
    <row r="113" spans="6:10">
      <c r="F113" s="5"/>
      <c r="J113" s="5"/>
    </row>
    <row r="114" spans="6:10">
      <c r="F114" s="5"/>
      <c r="J114" s="5"/>
    </row>
    <row r="115" spans="6:10">
      <c r="F115" s="5"/>
      <c r="J115" s="5"/>
    </row>
    <row r="116" spans="6:10">
      <c r="F116" s="5"/>
      <c r="J116" s="5"/>
    </row>
    <row r="117" spans="6:10">
      <c r="F117" s="5"/>
      <c r="J117" s="5"/>
    </row>
    <row r="118" spans="6:10">
      <c r="F118" s="5"/>
      <c r="J118" s="5"/>
    </row>
    <row r="119" spans="6:10">
      <c r="F119" s="5"/>
      <c r="J119" s="5"/>
    </row>
    <row r="120" spans="6:10">
      <c r="F120" s="5"/>
      <c r="J120" s="5"/>
    </row>
    <row r="121" spans="6:10">
      <c r="F121" s="5"/>
      <c r="J121" s="5"/>
    </row>
    <row r="122" spans="6:10">
      <c r="F122" s="5"/>
      <c r="J122" s="5"/>
    </row>
    <row r="123" spans="6:10">
      <c r="F123" s="5"/>
      <c r="J123" s="5"/>
    </row>
    <row r="124" spans="6:10">
      <c r="F124" s="5"/>
      <c r="J124" s="5"/>
    </row>
    <row r="125" spans="6:10">
      <c r="F125" s="5"/>
      <c r="J125" s="5"/>
    </row>
    <row r="126" spans="6:10">
      <c r="F126" s="5"/>
      <c r="J126" s="5"/>
    </row>
    <row r="127" spans="6:10">
      <c r="F127" s="5"/>
      <c r="J127" s="5"/>
    </row>
    <row r="128" spans="6:10">
      <c r="F128" s="5"/>
      <c r="J128" s="5"/>
    </row>
    <row r="129" spans="6:10">
      <c r="F129" s="5"/>
      <c r="J129" s="5"/>
    </row>
    <row r="130" spans="6:10">
      <c r="F130" s="5"/>
      <c r="J130" s="5"/>
    </row>
    <row r="131" spans="6:10">
      <c r="F131" s="5"/>
      <c r="J131" s="5"/>
    </row>
    <row r="132" spans="6:10">
      <c r="F132" s="5"/>
      <c r="J132" s="5"/>
    </row>
    <row r="133" spans="6:10">
      <c r="F133" s="5"/>
      <c r="J133" s="5"/>
    </row>
    <row r="134" spans="6:10">
      <c r="F134" s="5"/>
      <c r="J134" s="5"/>
    </row>
    <row r="135" spans="6:10">
      <c r="F135" s="5"/>
      <c r="J135" s="5"/>
    </row>
    <row r="136" spans="6:10">
      <c r="F136" s="5"/>
      <c r="J136" s="5"/>
    </row>
    <row r="137" spans="6:10">
      <c r="F137" s="5"/>
      <c r="J137" s="5"/>
    </row>
    <row r="138" spans="6:10">
      <c r="F138" s="5"/>
      <c r="J138" s="5"/>
    </row>
    <row r="139" spans="6:10">
      <c r="F139" s="5"/>
      <c r="J139" s="5"/>
    </row>
    <row r="140" spans="6:10">
      <c r="F140" s="5"/>
      <c r="J140" s="5"/>
    </row>
    <row r="141" spans="6:10">
      <c r="F141" s="5"/>
      <c r="J141" s="5"/>
    </row>
    <row r="142" spans="6:10">
      <c r="F142" s="5"/>
      <c r="J142" s="5"/>
    </row>
    <row r="143" spans="6:10">
      <c r="F143" s="5"/>
      <c r="J143" s="5"/>
    </row>
    <row r="144" spans="6:10">
      <c r="F144" s="5"/>
      <c r="J144" s="5"/>
    </row>
    <row r="145" spans="6:10">
      <c r="F145" s="5"/>
      <c r="J145" s="5"/>
    </row>
    <row r="146" spans="6:10">
      <c r="F146" s="5"/>
      <c r="J146" s="5"/>
    </row>
    <row r="147" spans="6:10">
      <c r="F147" s="5"/>
      <c r="J147" s="5"/>
    </row>
    <row r="148" spans="6:10">
      <c r="F148" s="5"/>
      <c r="J148" s="5"/>
    </row>
    <row r="149" spans="6:10">
      <c r="F149" s="5"/>
      <c r="J149" s="5"/>
    </row>
    <row r="150" spans="6:10">
      <c r="F150" s="5"/>
      <c r="J150" s="5"/>
    </row>
    <row r="151" spans="6:10">
      <c r="F151" s="5"/>
      <c r="J151" s="5"/>
    </row>
    <row r="152" spans="6:10">
      <c r="F152" s="5"/>
      <c r="J152" s="5"/>
    </row>
    <row r="153" spans="6:10">
      <c r="F153" s="5"/>
      <c r="J153" s="5"/>
    </row>
    <row r="154" spans="6:10">
      <c r="F154" s="5"/>
      <c r="J154" s="5"/>
    </row>
    <row r="155" spans="6:10">
      <c r="F155" s="5"/>
      <c r="J155" s="5"/>
    </row>
    <row r="156" spans="6:10">
      <c r="F156" s="5"/>
      <c r="J156" s="5"/>
    </row>
    <row r="157" spans="6:10">
      <c r="F157" s="5"/>
      <c r="J157" s="5"/>
    </row>
    <row r="158" spans="6:10">
      <c r="F158" s="5"/>
      <c r="J158" s="5"/>
    </row>
    <row r="159" spans="6:10">
      <c r="F159" s="5"/>
      <c r="J159" s="5"/>
    </row>
    <row r="160" spans="6:10">
      <c r="F160" s="5"/>
      <c r="J160" s="5"/>
    </row>
    <row r="161" spans="6:10">
      <c r="F161" s="5"/>
      <c r="J161" s="5"/>
    </row>
    <row r="162" spans="6:10">
      <c r="F162" s="5"/>
      <c r="J162" s="5"/>
    </row>
    <row r="163" spans="6:10">
      <c r="F163" s="5"/>
      <c r="J163" s="5"/>
    </row>
    <row r="164" spans="6:10">
      <c r="F164" s="5"/>
      <c r="J164" s="5"/>
    </row>
    <row r="165" spans="6:10">
      <c r="F165" s="5"/>
      <c r="J165" s="5"/>
    </row>
    <row r="166" spans="6:10">
      <c r="F166" s="5"/>
      <c r="J166" s="5"/>
    </row>
    <row r="167" spans="6:10">
      <c r="F167" s="5"/>
      <c r="J167" s="5"/>
    </row>
    <row r="168" spans="6:10">
      <c r="F168" s="5"/>
      <c r="J168" s="5"/>
    </row>
    <row r="169" spans="6:10">
      <c r="F169" s="5"/>
      <c r="J169" s="5"/>
    </row>
    <row r="170" spans="6:10">
      <c r="F170" s="5"/>
      <c r="J170" s="5"/>
    </row>
    <row r="171" spans="6:10">
      <c r="F171" s="5"/>
      <c r="J171" s="5"/>
    </row>
    <row r="172" spans="6:10">
      <c r="F172" s="5"/>
      <c r="J172" s="5"/>
    </row>
    <row r="173" spans="6:10">
      <c r="F173" s="5"/>
      <c r="J173" s="5"/>
    </row>
    <row r="174" spans="6:10">
      <c r="F174" s="5"/>
      <c r="J174" s="5"/>
    </row>
    <row r="175" spans="6:10">
      <c r="F175" s="5"/>
      <c r="J175" s="5"/>
    </row>
    <row r="176" spans="6:10">
      <c r="F176" s="5"/>
      <c r="J176" s="5"/>
    </row>
    <row r="177" spans="6:10">
      <c r="F177" s="5"/>
      <c r="J177" s="5"/>
    </row>
    <row r="178" spans="6:10">
      <c r="F178" s="5"/>
      <c r="J178" s="5"/>
    </row>
    <row r="179" spans="6:10">
      <c r="F179" s="5"/>
      <c r="J179" s="5"/>
    </row>
    <row r="180" spans="6:10">
      <c r="F180" s="5"/>
      <c r="J180" s="5"/>
    </row>
    <row r="181" spans="6:10">
      <c r="F181" s="5"/>
      <c r="J181" s="5"/>
    </row>
    <row r="182" spans="6:10">
      <c r="F182" s="5"/>
      <c r="J182" s="5"/>
    </row>
    <row r="183" spans="6:10">
      <c r="F183" s="5"/>
      <c r="J183" s="5"/>
    </row>
    <row r="184" spans="6:10">
      <c r="F184" s="5"/>
      <c r="J184" s="5"/>
    </row>
    <row r="185" spans="6:10">
      <c r="F185" s="5"/>
      <c r="J185" s="5"/>
    </row>
    <row r="186" spans="6:10">
      <c r="F186" s="5"/>
      <c r="J186" s="5"/>
    </row>
    <row r="187" spans="6:10">
      <c r="F187" s="5"/>
      <c r="J187" s="5"/>
    </row>
    <row r="188" spans="6:10">
      <c r="F188" s="5"/>
      <c r="J188" s="5"/>
    </row>
    <row r="189" spans="6:10">
      <c r="F189" s="5"/>
      <c r="J189" s="5"/>
    </row>
    <row r="190" spans="6:10">
      <c r="F190" s="5"/>
      <c r="J190" s="5"/>
    </row>
    <row r="191" spans="6:10">
      <c r="F191" s="5"/>
      <c r="J191" s="5"/>
    </row>
    <row r="192" spans="6:10">
      <c r="F192" s="5"/>
      <c r="J192" s="5"/>
    </row>
    <row r="193" spans="6:10">
      <c r="F193" s="5"/>
      <c r="J193" s="5"/>
    </row>
    <row r="194" spans="6:10">
      <c r="F194" s="5"/>
      <c r="J194" s="5"/>
    </row>
    <row r="195" spans="6:10">
      <c r="F195" s="5"/>
      <c r="J195" s="5"/>
    </row>
    <row r="196" spans="6:10">
      <c r="F196" s="5"/>
      <c r="J196" s="5"/>
    </row>
    <row r="197" spans="6:10">
      <c r="F197" s="5"/>
      <c r="J197" s="5"/>
    </row>
    <row r="198" spans="6:10">
      <c r="F198" s="5"/>
      <c r="J198" s="5"/>
    </row>
    <row r="199" spans="6:10">
      <c r="F199" s="5"/>
      <c r="J199" s="5"/>
    </row>
    <row r="200" spans="6:10">
      <c r="F200" s="5"/>
      <c r="J200" s="5"/>
    </row>
    <row r="201" spans="6:10">
      <c r="F201" s="5"/>
      <c r="J201" s="5"/>
    </row>
    <row r="202" spans="6:10">
      <c r="F202" s="5"/>
      <c r="J202" s="5"/>
    </row>
    <row r="203" spans="6:10">
      <c r="F203" s="5"/>
      <c r="J203" s="5"/>
    </row>
    <row r="204" spans="6:10">
      <c r="F204" s="5"/>
      <c r="J204" s="5"/>
    </row>
    <row r="205" spans="6:10">
      <c r="F205" s="5"/>
      <c r="J205" s="5"/>
    </row>
    <row r="206" spans="6:10">
      <c r="F206" s="5"/>
      <c r="J206" s="5"/>
    </row>
    <row r="207" spans="6:10">
      <c r="F207" s="5"/>
      <c r="J207" s="5"/>
    </row>
    <row r="208" spans="6:10">
      <c r="F208" s="5"/>
      <c r="J208" s="5"/>
    </row>
    <row r="209" spans="6:10">
      <c r="F209" s="5"/>
      <c r="J209" s="5"/>
    </row>
    <row r="210" spans="6:10">
      <c r="F210" s="5"/>
      <c r="J210" s="5"/>
    </row>
    <row r="211" spans="6:10">
      <c r="F211" s="5"/>
      <c r="J211" s="5"/>
    </row>
    <row r="212" spans="6:10">
      <c r="F212" s="5"/>
      <c r="J212" s="5"/>
    </row>
    <row r="213" spans="6:10">
      <c r="F213" s="5"/>
      <c r="J213" s="5"/>
    </row>
    <row r="214" spans="6:10">
      <c r="F214" s="5"/>
      <c r="J214" s="5"/>
    </row>
    <row r="215" spans="6:10">
      <c r="F215" s="5"/>
      <c r="J215" s="5"/>
    </row>
    <row r="216" spans="6:10">
      <c r="F216" s="5"/>
      <c r="J216" s="5"/>
    </row>
    <row r="217" spans="6:10">
      <c r="F217" s="5"/>
      <c r="J217" s="5"/>
    </row>
    <row r="218" spans="6:10">
      <c r="F218" s="5"/>
      <c r="J218" s="5"/>
    </row>
    <row r="219" spans="6:10">
      <c r="F219" s="5"/>
      <c r="J219" s="5"/>
    </row>
    <row r="220" spans="6:10">
      <c r="F220" s="5"/>
      <c r="J220" s="5"/>
    </row>
    <row r="221" spans="6:10">
      <c r="F221" s="5"/>
      <c r="J221" s="5"/>
    </row>
    <row r="222" spans="6:10">
      <c r="F222" s="5"/>
      <c r="J222" s="5"/>
    </row>
    <row r="223" spans="6:10">
      <c r="F223" s="5"/>
      <c r="J223" s="5"/>
    </row>
    <row r="224" spans="6:10">
      <c r="F224" s="5"/>
      <c r="J224" s="5"/>
    </row>
    <row r="225" spans="6:10">
      <c r="F225" s="5"/>
      <c r="J225" s="5"/>
    </row>
    <row r="226" spans="6:10">
      <c r="F226" s="5"/>
      <c r="J226" s="5"/>
    </row>
    <row r="227" spans="6:10">
      <c r="F227" s="5"/>
      <c r="J227" s="5"/>
    </row>
    <row r="228" spans="6:10">
      <c r="F228" s="5"/>
      <c r="J228" s="5"/>
    </row>
    <row r="229" spans="6:10">
      <c r="F229" s="5"/>
      <c r="J229" s="5"/>
    </row>
    <row r="230" spans="6:10">
      <c r="F230" s="5"/>
      <c r="J230" s="5"/>
    </row>
    <row r="231" spans="6:10">
      <c r="F231" s="5"/>
      <c r="J231" s="5"/>
    </row>
    <row r="232" spans="6:10">
      <c r="F232" s="5"/>
      <c r="J232" s="5"/>
    </row>
    <row r="233" spans="6:10">
      <c r="F233" s="5"/>
      <c r="J233" s="5"/>
    </row>
    <row r="234" spans="6:10">
      <c r="F234" s="5"/>
      <c r="J234" s="5"/>
    </row>
    <row r="235" spans="6:10">
      <c r="F235" s="5"/>
      <c r="J235" s="5"/>
    </row>
    <row r="236" spans="6:10">
      <c r="F236" s="5"/>
      <c r="J236" s="5"/>
    </row>
    <row r="237" spans="6:10">
      <c r="F237" s="5"/>
      <c r="J237" s="5"/>
    </row>
    <row r="238" spans="6:10">
      <c r="F238" s="5"/>
      <c r="J238" s="5"/>
    </row>
    <row r="239" spans="6:10">
      <c r="F239" s="5"/>
      <c r="J239" s="5"/>
    </row>
    <row r="240" spans="6:10">
      <c r="F240" s="5"/>
      <c r="J240" s="5"/>
    </row>
    <row r="241" spans="6:10">
      <c r="F241" s="5"/>
      <c r="J241" s="5"/>
    </row>
    <row r="242" spans="6:10">
      <c r="F242" s="5"/>
      <c r="J242" s="5"/>
    </row>
    <row r="243" spans="6:10">
      <c r="F243" s="5"/>
      <c r="J243" s="5"/>
    </row>
    <row r="244" spans="6:10">
      <c r="F244" s="5"/>
      <c r="J244" s="5"/>
    </row>
    <row r="245" spans="6:10">
      <c r="F245" s="5"/>
      <c r="J245" s="5"/>
    </row>
    <row r="246" spans="6:10">
      <c r="F246" s="5"/>
      <c r="J246" s="5"/>
    </row>
    <row r="247" spans="6:10">
      <c r="F247" s="5"/>
      <c r="J247" s="5"/>
    </row>
    <row r="248" spans="6:10">
      <c r="F248" s="5"/>
      <c r="J248" s="5"/>
    </row>
    <row r="249" spans="6:10">
      <c r="F249" s="5"/>
      <c r="J249" s="5"/>
    </row>
    <row r="250" spans="6:10">
      <c r="F250" s="5"/>
      <c r="J250" s="5"/>
    </row>
    <row r="251" spans="6:10">
      <c r="F251" s="5"/>
      <c r="J251" s="5"/>
    </row>
    <row r="252" spans="6:10">
      <c r="F252" s="5"/>
      <c r="J252" s="5"/>
    </row>
    <row r="253" spans="6:10">
      <c r="F253" s="5"/>
      <c r="J253" s="5"/>
    </row>
    <row r="254" spans="6:10">
      <c r="F254" s="5"/>
      <c r="J254" s="5"/>
    </row>
    <row r="255" spans="6:10">
      <c r="F255" s="5"/>
      <c r="J255" s="5"/>
    </row>
    <row r="256" spans="6:10">
      <c r="F256" s="5"/>
      <c r="J256" s="5"/>
    </row>
    <row r="257" spans="6:10">
      <c r="F257" s="5"/>
      <c r="J257" s="5"/>
    </row>
    <row r="258" spans="6:10">
      <c r="F258" s="5"/>
      <c r="J258" s="5"/>
    </row>
    <row r="259" spans="6:10">
      <c r="F259" s="5"/>
      <c r="J259" s="5"/>
    </row>
    <row r="260" spans="6:10">
      <c r="F260" s="5"/>
      <c r="J260" s="5"/>
    </row>
    <row r="261" spans="6:10">
      <c r="F261" s="5"/>
      <c r="J261" s="5"/>
    </row>
    <row r="262" spans="6:10">
      <c r="F262" s="5"/>
      <c r="J262" s="5"/>
    </row>
    <row r="263" spans="6:10">
      <c r="F263" s="5"/>
      <c r="J263" s="5"/>
    </row>
    <row r="264" spans="6:10">
      <c r="F264" s="5"/>
      <c r="J264" s="5"/>
    </row>
    <row r="265" spans="6:10">
      <c r="F265" s="5"/>
      <c r="J265" s="5"/>
    </row>
    <row r="266" spans="6:10">
      <c r="F266" s="5"/>
      <c r="J266" s="5"/>
    </row>
    <row r="267" spans="6:10">
      <c r="F267" s="5"/>
      <c r="J267" s="5"/>
    </row>
    <row r="268" spans="6:10">
      <c r="F268" s="5"/>
      <c r="J268" s="5"/>
    </row>
    <row r="269" spans="6:10">
      <c r="F269" s="5"/>
      <c r="J269" s="5"/>
    </row>
    <row r="270" spans="6:10">
      <c r="F270" s="5"/>
      <c r="J270" s="5"/>
    </row>
    <row r="271" spans="6:10">
      <c r="F271" s="5"/>
      <c r="J271" s="5"/>
    </row>
    <row r="272" spans="6:10">
      <c r="F272" s="5"/>
      <c r="J272" s="5"/>
    </row>
    <row r="273" spans="6:10">
      <c r="F273" s="5"/>
      <c r="J273" s="5"/>
    </row>
    <row r="274" spans="6:10">
      <c r="F274" s="5"/>
      <c r="J274" s="5"/>
    </row>
    <row r="275" spans="6:10">
      <c r="F275" s="5"/>
      <c r="J275" s="5"/>
    </row>
    <row r="276" spans="6:10">
      <c r="F276" s="5"/>
      <c r="J276" s="5"/>
    </row>
    <row r="277" spans="6:10">
      <c r="F277" s="5"/>
      <c r="J277" s="5"/>
    </row>
    <row r="278" spans="6:10">
      <c r="F278" s="5"/>
      <c r="J278" s="5"/>
    </row>
    <row r="279" spans="6:10">
      <c r="F279" s="5"/>
      <c r="J279" s="5"/>
    </row>
    <row r="280" spans="6:10">
      <c r="F280" s="5"/>
      <c r="J280" s="5"/>
    </row>
    <row r="281" spans="6:10">
      <c r="F281" s="5"/>
      <c r="J281" s="5"/>
    </row>
    <row r="282" spans="6:10">
      <c r="F282" s="5"/>
      <c r="J282" s="5"/>
    </row>
    <row r="283" spans="6:10">
      <c r="F283" s="5"/>
      <c r="J283" s="5"/>
    </row>
    <row r="284" spans="6:10">
      <c r="F284" s="5"/>
      <c r="J284" s="5"/>
    </row>
    <row r="285" spans="6:10">
      <c r="F285" s="5"/>
      <c r="J285" s="5"/>
    </row>
    <row r="286" spans="6:10">
      <c r="F286" s="5"/>
      <c r="J286" s="5"/>
    </row>
    <row r="287" spans="6:10">
      <c r="F287" s="5"/>
      <c r="J287" s="5"/>
    </row>
    <row r="288" spans="6:10">
      <c r="F288" s="5"/>
      <c r="J288" s="5"/>
    </row>
    <row r="289" spans="6:10">
      <c r="F289" s="5"/>
      <c r="J289" s="5"/>
    </row>
    <row r="290" spans="6:10">
      <c r="F290" s="5"/>
      <c r="J290" s="5"/>
    </row>
    <row r="291" spans="6:10">
      <c r="F291" s="5"/>
      <c r="J291" s="5"/>
    </row>
    <row r="292" spans="6:10">
      <c r="F292" s="5"/>
      <c r="J292" s="5"/>
    </row>
    <row r="293" spans="6:10">
      <c r="F293" s="5"/>
      <c r="J293" s="5"/>
    </row>
    <row r="294" spans="6:10">
      <c r="F294" s="5"/>
      <c r="J294" s="5"/>
    </row>
    <row r="295" spans="6:10">
      <c r="F295" s="5"/>
      <c r="J295" s="5"/>
    </row>
    <row r="296" spans="6:10">
      <c r="F296" s="5"/>
      <c r="J296" s="5"/>
    </row>
    <row r="297" spans="6:10">
      <c r="F297" s="5"/>
      <c r="J297" s="5"/>
    </row>
    <row r="298" spans="6:10">
      <c r="F298" s="5"/>
      <c r="J298" s="5"/>
    </row>
    <row r="299" spans="6:10">
      <c r="F299" s="5"/>
      <c r="J299" s="5"/>
    </row>
    <row r="300" spans="6:10">
      <c r="F300" s="5"/>
      <c r="J300" s="5"/>
    </row>
    <row r="301" spans="6:10">
      <c r="F301" s="5"/>
      <c r="J301" s="5"/>
    </row>
    <row r="302" spans="6:10">
      <c r="F302" s="5"/>
      <c r="J302" s="5"/>
    </row>
    <row r="303" spans="6:10">
      <c r="F303" s="5"/>
      <c r="J303" s="5"/>
    </row>
    <row r="304" spans="6:10">
      <c r="F304" s="5"/>
      <c r="J304" s="5"/>
    </row>
    <row r="305" spans="6:10">
      <c r="F305" s="5"/>
      <c r="J305" s="5"/>
    </row>
    <row r="306" spans="6:10">
      <c r="F306" s="5"/>
      <c r="J306" s="5"/>
    </row>
    <row r="307" spans="6:10">
      <c r="F307" s="5"/>
      <c r="J307" s="5"/>
    </row>
    <row r="308" spans="6:10">
      <c r="F308" s="5"/>
      <c r="J308" s="5"/>
    </row>
    <row r="309" spans="6:10">
      <c r="F309" s="5"/>
      <c r="J309" s="5"/>
    </row>
    <row r="310" spans="6:10">
      <c r="F310" s="5"/>
      <c r="J310" s="5"/>
    </row>
    <row r="311" spans="6:10">
      <c r="F311" s="5"/>
      <c r="J311" s="5"/>
    </row>
    <row r="312" spans="6:10">
      <c r="F312" s="5"/>
      <c r="J312" s="5"/>
    </row>
    <row r="313" spans="6:10">
      <c r="F313" s="5"/>
      <c r="J313" s="5"/>
    </row>
    <row r="314" spans="6:10">
      <c r="F314" s="5"/>
      <c r="J314" s="5"/>
    </row>
    <row r="315" spans="6:10">
      <c r="F315" s="5"/>
      <c r="J315" s="5"/>
    </row>
    <row r="316" spans="6:10">
      <c r="F316" s="5"/>
      <c r="J316" s="5"/>
    </row>
    <row r="317" spans="6:10">
      <c r="F317" s="5"/>
      <c r="J317" s="5"/>
    </row>
    <row r="318" spans="6:10">
      <c r="F318" s="5"/>
      <c r="J318" s="5"/>
    </row>
    <row r="319" spans="6:10">
      <c r="F319" s="5"/>
      <c r="J319" s="5"/>
    </row>
    <row r="320" spans="6:10">
      <c r="F320" s="5"/>
      <c r="J320" s="5"/>
    </row>
    <row r="321" spans="6:10">
      <c r="F321" s="5"/>
      <c r="J321" s="5"/>
    </row>
    <row r="322" spans="6:10">
      <c r="F322" s="5"/>
      <c r="J322" s="5"/>
    </row>
    <row r="323" spans="6:10">
      <c r="F323" s="5"/>
      <c r="J323" s="5"/>
    </row>
    <row r="324" spans="6:10">
      <c r="F324" s="5"/>
      <c r="J324" s="5"/>
    </row>
    <row r="325" spans="6:10">
      <c r="F325" s="5"/>
      <c r="J325" s="5"/>
    </row>
    <row r="326" spans="6:10">
      <c r="F326" s="5"/>
      <c r="J326" s="5"/>
    </row>
    <row r="327" spans="6:10">
      <c r="F327" s="5"/>
      <c r="J327" s="5"/>
    </row>
    <row r="328" spans="6:10">
      <c r="F328" s="5"/>
      <c r="J328" s="5"/>
    </row>
    <row r="329" spans="6:10">
      <c r="F329" s="5"/>
      <c r="J329" s="5"/>
    </row>
    <row r="330" spans="6:10">
      <c r="F330" s="5"/>
      <c r="J330" s="5"/>
    </row>
    <row r="331" spans="6:10">
      <c r="F331" s="5"/>
      <c r="J331" s="5"/>
    </row>
    <row r="332" spans="6:10">
      <c r="F332" s="5"/>
      <c r="J332" s="5"/>
    </row>
    <row r="333" spans="6:10">
      <c r="F333" s="5"/>
      <c r="J333" s="5"/>
    </row>
    <row r="334" spans="6:10">
      <c r="F334" s="5"/>
      <c r="J334" s="5"/>
    </row>
    <row r="335" spans="6:10">
      <c r="F335" s="5"/>
      <c r="J335" s="5"/>
    </row>
    <row r="336" spans="6:10">
      <c r="F336" s="5"/>
      <c r="J336" s="5"/>
    </row>
    <row r="337" spans="6:10">
      <c r="F337" s="5"/>
      <c r="J337" s="5"/>
    </row>
    <row r="338" spans="6:10">
      <c r="F338" s="5"/>
      <c r="J338" s="5"/>
    </row>
    <row r="339" spans="6:10">
      <c r="F339" s="5"/>
      <c r="J339" s="5"/>
    </row>
    <row r="340" spans="6:10">
      <c r="F340" s="5"/>
      <c r="J340" s="5"/>
    </row>
    <row r="341" spans="6:10">
      <c r="F341" s="5"/>
      <c r="J341" s="5"/>
    </row>
    <row r="342" spans="6:10">
      <c r="F342" s="5"/>
      <c r="J342" s="5"/>
    </row>
    <row r="343" spans="6:10">
      <c r="F343" s="5"/>
      <c r="J343" s="5"/>
    </row>
    <row r="344" spans="6:10">
      <c r="F344" s="5"/>
      <c r="J344" s="5"/>
    </row>
    <row r="345" spans="6:10">
      <c r="F345" s="5"/>
      <c r="J345" s="5"/>
    </row>
    <row r="346" spans="6:10">
      <c r="F346" s="5"/>
      <c r="J346" s="5"/>
    </row>
    <row r="347" spans="6:10">
      <c r="F347" s="5"/>
      <c r="J347" s="5"/>
    </row>
    <row r="348" spans="6:10">
      <c r="F348" s="5"/>
      <c r="J348" s="5"/>
    </row>
    <row r="349" spans="6:10">
      <c r="F349" s="5"/>
      <c r="J349" s="5"/>
    </row>
    <row r="350" spans="6:10">
      <c r="F350" s="5"/>
      <c r="J350" s="5"/>
    </row>
    <row r="351" spans="6:10">
      <c r="F351" s="5"/>
      <c r="J351" s="5"/>
    </row>
    <row r="352" spans="6:10">
      <c r="F352" s="5"/>
      <c r="J352" s="5"/>
    </row>
    <row r="353" spans="6:10">
      <c r="F353" s="5"/>
      <c r="J353" s="5"/>
    </row>
    <row r="354" spans="6:10">
      <c r="F354" s="5"/>
      <c r="J354" s="5"/>
    </row>
    <row r="355" spans="6:10">
      <c r="F355" s="5"/>
      <c r="J355" s="5"/>
    </row>
    <row r="356" spans="6:10">
      <c r="F356" s="5"/>
      <c r="J356" s="5"/>
    </row>
    <row r="357" spans="6:10">
      <c r="F357" s="5"/>
      <c r="J357" s="5"/>
    </row>
    <row r="358" spans="6:10">
      <c r="F358" s="5"/>
      <c r="J358" s="5"/>
    </row>
    <row r="359" spans="6:10">
      <c r="F359" s="5"/>
      <c r="J359" s="5"/>
    </row>
    <row r="360" spans="6:10">
      <c r="F360" s="5"/>
      <c r="J360" s="5"/>
    </row>
    <row r="361" spans="6:10">
      <c r="F361" s="5"/>
      <c r="J361" s="5"/>
    </row>
    <row r="362" spans="6:10">
      <c r="F362" s="5"/>
      <c r="J362" s="5"/>
    </row>
    <row r="363" spans="6:10">
      <c r="F363" s="5"/>
      <c r="J363" s="5"/>
    </row>
    <row r="364" spans="6:10">
      <c r="F364" s="5"/>
      <c r="J364" s="5"/>
    </row>
    <row r="365" spans="6:10">
      <c r="F365" s="5"/>
      <c r="J365" s="5"/>
    </row>
    <row r="366" spans="6:10">
      <c r="F366" s="5"/>
      <c r="J366" s="5"/>
    </row>
    <row r="367" spans="6:10">
      <c r="F367" s="5"/>
      <c r="J367" s="5"/>
    </row>
    <row r="368" spans="6:10">
      <c r="F368" s="5"/>
      <c r="J368" s="5"/>
    </row>
    <row r="369" spans="6:10">
      <c r="F369" s="5"/>
      <c r="J369" s="5"/>
    </row>
    <row r="370" spans="6:10">
      <c r="F370" s="5"/>
      <c r="J370" s="5"/>
    </row>
    <row r="371" spans="6:10">
      <c r="F371" s="5"/>
      <c r="J371" s="5"/>
    </row>
    <row r="372" spans="6:10">
      <c r="F372" s="5"/>
      <c r="J372" s="5"/>
    </row>
    <row r="373" spans="6:10">
      <c r="F373" s="5"/>
      <c r="J373" s="5"/>
    </row>
    <row r="374" spans="6:10">
      <c r="F374" s="5"/>
      <c r="J374" s="5"/>
    </row>
    <row r="375" spans="6:10">
      <c r="F375" s="5"/>
      <c r="J375" s="5"/>
    </row>
    <row r="376" spans="6:10">
      <c r="F376" s="5"/>
      <c r="J376" s="5"/>
    </row>
    <row r="377" spans="6:10">
      <c r="F377" s="5"/>
      <c r="J377" s="5"/>
    </row>
    <row r="378" spans="6:10">
      <c r="F378" s="5"/>
      <c r="J378" s="5"/>
    </row>
    <row r="379" spans="6:10">
      <c r="F379" s="5"/>
      <c r="J379" s="5"/>
    </row>
    <row r="380" spans="6:10">
      <c r="F380" s="5"/>
      <c r="J380" s="5"/>
    </row>
    <row r="381" spans="6:10">
      <c r="F381" s="5"/>
      <c r="J381" s="5"/>
    </row>
    <row r="382" spans="6:10">
      <c r="F382" s="5"/>
      <c r="J382" s="5"/>
    </row>
    <row r="383" spans="6:10">
      <c r="F383" s="5"/>
      <c r="J383" s="5"/>
    </row>
    <row r="384" spans="6:10">
      <c r="F384" s="5"/>
      <c r="J384" s="5"/>
    </row>
    <row r="385" spans="6:10">
      <c r="F385" s="5"/>
      <c r="J385" s="5"/>
    </row>
    <row r="386" spans="6:10">
      <c r="F386" s="5"/>
      <c r="J386" s="5"/>
    </row>
    <row r="387" spans="6:10">
      <c r="F387" s="5"/>
      <c r="J387" s="5"/>
    </row>
    <row r="388" spans="6:10">
      <c r="F388" s="5"/>
      <c r="J388" s="5"/>
    </row>
    <row r="389" spans="6:10">
      <c r="F389" s="5"/>
      <c r="J389" s="5"/>
    </row>
    <row r="390" spans="6:10">
      <c r="F390" s="5"/>
      <c r="J390" s="5"/>
    </row>
    <row r="391" spans="6:10">
      <c r="F391" s="5"/>
      <c r="J391" s="5"/>
    </row>
    <row r="392" spans="6:10">
      <c r="F392" s="5"/>
      <c r="J392" s="5"/>
    </row>
    <row r="393" spans="6:10">
      <c r="F393" s="5"/>
      <c r="J393" s="5"/>
    </row>
    <row r="394" spans="6:10">
      <c r="F394" s="5"/>
      <c r="J394" s="5"/>
    </row>
    <row r="395" spans="6:10">
      <c r="F395" s="5"/>
      <c r="J395" s="5"/>
    </row>
    <row r="396" spans="6:10">
      <c r="F396" s="5"/>
      <c r="J396" s="5"/>
    </row>
    <row r="397" spans="6:10">
      <c r="F397" s="5"/>
      <c r="J397" s="5"/>
    </row>
    <row r="398" spans="6:10">
      <c r="F398" s="5"/>
      <c r="J398" s="5"/>
    </row>
    <row r="399" spans="6:10">
      <c r="F399" s="5"/>
      <c r="J399" s="5"/>
    </row>
    <row r="400" spans="6:10">
      <c r="F400" s="5"/>
      <c r="J400" s="5"/>
    </row>
    <row r="401" spans="6:10">
      <c r="F401" s="5"/>
      <c r="J401" s="5"/>
    </row>
    <row r="402" spans="6:10">
      <c r="F402" s="5"/>
      <c r="J402" s="5"/>
    </row>
    <row r="403" spans="6:10">
      <c r="F403" s="5"/>
      <c r="J403" s="5"/>
    </row>
    <row r="404" spans="6:10">
      <c r="F404" s="5"/>
      <c r="J404" s="5"/>
    </row>
    <row r="405" spans="6:10">
      <c r="F405" s="5"/>
      <c r="J405" s="5"/>
    </row>
    <row r="406" spans="6:10">
      <c r="F406" s="5"/>
      <c r="J406" s="5"/>
    </row>
    <row r="407" spans="6:10">
      <c r="F407" s="5"/>
      <c r="J407" s="5"/>
    </row>
    <row r="408" spans="6:10">
      <c r="F408" s="5"/>
      <c r="J408" s="5"/>
    </row>
    <row r="409" spans="6:10">
      <c r="F409" s="5"/>
      <c r="J409" s="5"/>
    </row>
    <row r="410" spans="6:10">
      <c r="F410" s="5"/>
      <c r="J410" s="5"/>
    </row>
    <row r="411" spans="6:10">
      <c r="F411" s="5"/>
      <c r="J411" s="5"/>
    </row>
    <row r="412" spans="6:10">
      <c r="F412" s="5"/>
      <c r="J412" s="5"/>
    </row>
    <row r="413" spans="6:10">
      <c r="F413" s="5"/>
      <c r="J413" s="5"/>
    </row>
    <row r="414" spans="6:10">
      <c r="F414" s="5"/>
      <c r="J414" s="5"/>
    </row>
    <row r="415" spans="6:10">
      <c r="F415" s="5"/>
      <c r="J415" s="5"/>
    </row>
    <row r="416" spans="6:10">
      <c r="F416" s="5"/>
      <c r="J416" s="5"/>
    </row>
    <row r="417" spans="6:10">
      <c r="F417" s="5"/>
      <c r="J417" s="5"/>
    </row>
    <row r="418" spans="6:10">
      <c r="F418" s="5"/>
      <c r="J418" s="5"/>
    </row>
    <row r="419" spans="6:10">
      <c r="F419" s="5"/>
      <c r="J419" s="5"/>
    </row>
    <row r="420" spans="6:10">
      <c r="F420" s="5"/>
      <c r="J420" s="5"/>
    </row>
    <row r="421" spans="6:10">
      <c r="F421" s="5"/>
      <c r="J421" s="5"/>
    </row>
    <row r="422" spans="6:10">
      <c r="F422" s="5"/>
      <c r="J422" s="5"/>
    </row>
    <row r="423" spans="6:10">
      <c r="F423" s="5"/>
      <c r="J423" s="5"/>
    </row>
    <row r="424" spans="6:10">
      <c r="F424" s="5"/>
      <c r="J424" s="5"/>
    </row>
    <row r="425" spans="6:10">
      <c r="F425" s="5"/>
      <c r="J425" s="5"/>
    </row>
    <row r="426" spans="6:10">
      <c r="F426" s="5"/>
      <c r="J426" s="5"/>
    </row>
    <row r="427" spans="6:10">
      <c r="F427" s="5"/>
      <c r="J427" s="5"/>
    </row>
    <row r="428" spans="6:10">
      <c r="F428" s="5"/>
      <c r="J428" s="5"/>
    </row>
    <row r="429" spans="6:10">
      <c r="F429" s="5"/>
      <c r="J429" s="5"/>
    </row>
    <row r="430" spans="6:10">
      <c r="F430" s="5"/>
      <c r="J430" s="5"/>
    </row>
    <row r="431" spans="6:10">
      <c r="F431" s="5"/>
      <c r="J431" s="5"/>
    </row>
    <row r="432" spans="6:10">
      <c r="F432" s="5"/>
      <c r="J432" s="5"/>
    </row>
    <row r="433" spans="6:10">
      <c r="F433" s="5"/>
      <c r="J433" s="5"/>
    </row>
    <row r="434" spans="6:10">
      <c r="F434" s="5"/>
      <c r="J434" s="5"/>
    </row>
    <row r="435" spans="6:10">
      <c r="F435" s="5"/>
      <c r="J435" s="5"/>
    </row>
    <row r="436" spans="6:10">
      <c r="F436" s="5"/>
      <c r="J436" s="5"/>
    </row>
    <row r="437" spans="6:10">
      <c r="F437" s="5"/>
      <c r="J437" s="5"/>
    </row>
    <row r="438" spans="6:10">
      <c r="F438" s="5"/>
      <c r="J438" s="5"/>
    </row>
    <row r="439" spans="6:10">
      <c r="F439" s="5"/>
      <c r="J439" s="5"/>
    </row>
    <row r="440" spans="6:10">
      <c r="F440" s="5"/>
      <c r="J440" s="5"/>
    </row>
    <row r="441" spans="6:10">
      <c r="F441" s="5"/>
      <c r="J441" s="5"/>
    </row>
    <row r="442" spans="6:10">
      <c r="F442" s="5"/>
      <c r="J442" s="5"/>
    </row>
    <row r="443" spans="6:10">
      <c r="F443" s="5"/>
      <c r="J443" s="5"/>
    </row>
    <row r="444" spans="6:10">
      <c r="F444" s="5"/>
      <c r="J444" s="5"/>
    </row>
    <row r="445" spans="6:10">
      <c r="F445" s="5"/>
      <c r="J445" s="5"/>
    </row>
    <row r="446" spans="6:10">
      <c r="F446" s="5"/>
      <c r="J446" s="5"/>
    </row>
    <row r="447" spans="6:10">
      <c r="F447" s="5"/>
      <c r="J447" s="5"/>
    </row>
    <row r="448" spans="6:10">
      <c r="F448" s="5"/>
      <c r="J448" s="5"/>
    </row>
    <row r="449" spans="6:10">
      <c r="F449" s="5"/>
      <c r="J449" s="5"/>
    </row>
    <row r="450" spans="6:10">
      <c r="F450" s="5"/>
      <c r="J450" s="5"/>
    </row>
    <row r="451" spans="6:10">
      <c r="F451" s="5"/>
      <c r="J451" s="5"/>
    </row>
    <row r="452" spans="6:10">
      <c r="F452" s="5"/>
      <c r="J452" s="5"/>
    </row>
    <row r="453" spans="6:10">
      <c r="F453" s="5"/>
      <c r="J453" s="5"/>
    </row>
    <row r="454" spans="6:10">
      <c r="F454" s="5"/>
      <c r="J454" s="5"/>
    </row>
    <row r="455" spans="6:10">
      <c r="F455" s="5"/>
      <c r="J455" s="5"/>
    </row>
    <row r="456" spans="6:10">
      <c r="F456" s="5"/>
      <c r="J456" s="5"/>
    </row>
    <row r="457" spans="6:10">
      <c r="F457" s="5"/>
      <c r="J457" s="5"/>
    </row>
    <row r="458" spans="6:10">
      <c r="F458" s="5"/>
      <c r="J458" s="5"/>
    </row>
    <row r="459" spans="6:10">
      <c r="F459" s="5"/>
      <c r="J459" s="5"/>
    </row>
    <row r="460" spans="6:10">
      <c r="F460" s="5"/>
      <c r="J460" s="5"/>
    </row>
    <row r="461" spans="6:10">
      <c r="F461" s="5"/>
      <c r="J461" s="5"/>
    </row>
    <row r="462" spans="6:10">
      <c r="F462" s="5"/>
      <c r="J462" s="5"/>
    </row>
    <row r="463" spans="6:10">
      <c r="F463" s="5"/>
      <c r="J463" s="5"/>
    </row>
    <row r="464" spans="6:10">
      <c r="F464" s="5"/>
      <c r="J464" s="5"/>
    </row>
    <row r="465" spans="6:10">
      <c r="F465" s="5"/>
      <c r="J465" s="5"/>
    </row>
    <row r="466" spans="6:10">
      <c r="F466" s="5"/>
      <c r="J466" s="5"/>
    </row>
    <row r="467" spans="6:10">
      <c r="F467" s="5"/>
      <c r="J467" s="5"/>
    </row>
    <row r="468" spans="6:10">
      <c r="F468" s="5"/>
      <c r="J468" s="5"/>
    </row>
    <row r="469" spans="6:10">
      <c r="F469" s="5"/>
      <c r="J469" s="5"/>
    </row>
    <row r="470" spans="6:10">
      <c r="F470" s="5"/>
      <c r="J470" s="5"/>
    </row>
    <row r="471" spans="6:10">
      <c r="F471" s="5"/>
      <c r="J471" s="5"/>
    </row>
    <row r="472" spans="6:10">
      <c r="F472" s="5"/>
      <c r="J472" s="5"/>
    </row>
    <row r="473" spans="6:10">
      <c r="F473" s="5"/>
      <c r="J473" s="5"/>
    </row>
    <row r="474" spans="6:10">
      <c r="F474" s="5"/>
      <c r="J474" s="5"/>
    </row>
    <row r="475" spans="6:10">
      <c r="F475" s="5"/>
      <c r="J475" s="5"/>
    </row>
    <row r="476" spans="6:10">
      <c r="F476" s="5"/>
      <c r="J476" s="5"/>
    </row>
    <row r="477" spans="6:10">
      <c r="F477" s="5"/>
      <c r="J477" s="5"/>
    </row>
    <row r="478" spans="6:10">
      <c r="F478" s="5"/>
      <c r="J478" s="5"/>
    </row>
    <row r="479" spans="6:10">
      <c r="F479" s="5"/>
      <c r="J479" s="5"/>
    </row>
    <row r="480" spans="6:10">
      <c r="F480" s="5"/>
      <c r="J480" s="5"/>
    </row>
    <row r="481" spans="6:10">
      <c r="F481" s="5"/>
      <c r="J481" s="5"/>
    </row>
    <row r="482" spans="6:10">
      <c r="F482" s="5"/>
      <c r="J482" s="5"/>
    </row>
    <row r="483" spans="6:10">
      <c r="F483" s="5"/>
      <c r="J483" s="5"/>
    </row>
    <row r="484" spans="6:10">
      <c r="F484" s="5"/>
      <c r="J484" s="5"/>
    </row>
    <row r="485" spans="6:10">
      <c r="F485" s="5"/>
      <c r="J485" s="5"/>
    </row>
    <row r="486" spans="6:10">
      <c r="F486" s="5"/>
      <c r="J486" s="5"/>
    </row>
    <row r="487" spans="6:10">
      <c r="F487" s="5"/>
      <c r="J487" s="5"/>
    </row>
    <row r="488" spans="6:10">
      <c r="F488" s="5"/>
      <c r="J488" s="5"/>
    </row>
    <row r="489" spans="6:10">
      <c r="F489" s="5"/>
      <c r="J489" s="5"/>
    </row>
    <row r="490" spans="6:10">
      <c r="F490" s="5"/>
      <c r="J490" s="5"/>
    </row>
    <row r="491" spans="6:10">
      <c r="F491" s="5"/>
      <c r="J491" s="5"/>
    </row>
    <row r="492" spans="6:10">
      <c r="F492" s="5"/>
      <c r="J492" s="5"/>
    </row>
    <row r="493" spans="6:10">
      <c r="F493" s="5"/>
      <c r="J493" s="5"/>
    </row>
    <row r="494" spans="6:10">
      <c r="F494" s="5"/>
      <c r="J494" s="5"/>
    </row>
    <row r="495" spans="6:10">
      <c r="F495" s="5"/>
      <c r="J495" s="5"/>
    </row>
    <row r="496" spans="6:10">
      <c r="F496" s="5"/>
      <c r="J496" s="5"/>
    </row>
    <row r="497" spans="6:10">
      <c r="F497" s="5"/>
      <c r="J497" s="5"/>
    </row>
    <row r="498" spans="6:10">
      <c r="F498" s="5"/>
      <c r="J498" s="5"/>
    </row>
    <row r="499" spans="6:10">
      <c r="F499" s="5"/>
      <c r="J499" s="5"/>
    </row>
    <row r="500" spans="6:10">
      <c r="F500" s="5"/>
      <c r="J500" s="5"/>
    </row>
  </sheetData>
  <mergeCells count="2">
    <mergeCell ref="A1:K1"/>
    <mergeCell ref="A2:K2"/>
  </mergeCells>
  <conditionalFormatting sqref="D4:D500">
    <cfRule type="expression" dxfId="25" priority="1">
      <formula>OR($D4="Blocked",$D4="Needs Action")</formula>
    </cfRule>
    <cfRule type="expression" dxfId="24" priority="2">
      <formula>OR($D4="Waiting on Others",$D4="Pending",$D4="Under Review")</formula>
    </cfRule>
    <cfRule type="expression" dxfId="23" priority="3">
      <formula>OR($D4="In Progress",$D4="Starts 20 May")</formula>
    </cfRule>
    <cfRule type="expression" dxfId="22" priority="4">
      <formula>OR($D4="Complete",$D4="Ready",$D4="Complete / Under Review")</formula>
    </cfRule>
  </conditionalFormatting>
  <conditionalFormatting sqref="H4:H500">
    <cfRule type="expression" dxfId="21" priority="5">
      <formula>$H4="No"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800-000000000000}">
          <x14:formula1>
            <xm:f>Lists!$A$4:$A$18</xm:f>
          </x14:formula1>
          <xm:sqref>D4:D500</xm:sqref>
        </x14:dataValidation>
        <x14:dataValidation type="list" xr:uid="{00000000-0002-0000-0800-000001000000}">
          <x14:formula1>
            <xm:f>Lists!$E$4:$E$5</xm:f>
          </x14:formula1>
          <xm:sqref>H4:H500 C4:C500</xm:sqref>
        </x14:dataValidation>
        <x14:dataValidation type="list" xr:uid="{00000000-0002-0000-0800-000003000000}">
          <x14:formula1>
            <xm:f>Lists!$H$4:$H$9</xm:f>
          </x14:formula1>
          <xm:sqref>B4:B500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500"/>
  <sheetViews>
    <sheetView workbookViewId="0">
      <selection activeCell="D25" sqref="D25"/>
    </sheetView>
  </sheetViews>
  <sheetFormatPr defaultRowHeight="14"/>
  <cols>
    <col min="1" max="1" width="18" customWidth="1"/>
    <col min="2" max="2" width="16" customWidth="1"/>
    <col min="3" max="3" width="38" customWidth="1"/>
    <col min="4" max="8" width="16" customWidth="1"/>
    <col min="9" max="10" width="38" customWidth="1"/>
    <col min="11" max="11" width="14" customWidth="1"/>
    <col min="12" max="12" width="16" customWidth="1"/>
    <col min="13" max="16" width="14" customWidth="1"/>
    <col min="17" max="17" width="38" customWidth="1"/>
  </cols>
  <sheetData>
    <row r="1" spans="1:17" ht="20">
      <c r="A1" s="7" t="s">
        <v>233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3" spans="1:17">
      <c r="A3" s="1" t="s">
        <v>234</v>
      </c>
      <c r="B3" s="1" t="s">
        <v>235</v>
      </c>
      <c r="C3" s="1" t="s">
        <v>236</v>
      </c>
      <c r="D3" s="1" t="s">
        <v>41</v>
      </c>
      <c r="E3" s="1" t="s">
        <v>31</v>
      </c>
      <c r="F3" s="1" t="s">
        <v>212</v>
      </c>
      <c r="G3" s="1" t="s">
        <v>237</v>
      </c>
      <c r="H3" s="1" t="s">
        <v>238</v>
      </c>
      <c r="I3" s="1" t="s">
        <v>239</v>
      </c>
      <c r="J3" s="1" t="s">
        <v>240</v>
      </c>
      <c r="K3" s="1" t="s">
        <v>205</v>
      </c>
      <c r="L3" s="1" t="s">
        <v>215</v>
      </c>
      <c r="M3" s="1" t="s">
        <v>216</v>
      </c>
      <c r="N3" s="1" t="s">
        <v>117</v>
      </c>
      <c r="O3" s="1" t="s">
        <v>118</v>
      </c>
      <c r="P3" s="1" t="s">
        <v>17</v>
      </c>
      <c r="Q3" s="1" t="s">
        <v>18</v>
      </c>
    </row>
    <row r="4" spans="1:17">
      <c r="A4" s="2" t="s">
        <v>941</v>
      </c>
      <c r="B4" s="2" t="s">
        <v>942</v>
      </c>
      <c r="C4" s="2" t="s">
        <v>943</v>
      </c>
      <c r="D4" s="2" t="s">
        <v>53</v>
      </c>
      <c r="E4" s="2" t="s">
        <v>86</v>
      </c>
      <c r="F4" s="2" t="s">
        <v>619</v>
      </c>
      <c r="G4" s="2" t="s">
        <v>513</v>
      </c>
      <c r="H4" s="2" t="s">
        <v>44</v>
      </c>
      <c r="I4" s="2" t="s">
        <v>944</v>
      </c>
      <c r="J4" s="2" t="s">
        <v>945</v>
      </c>
      <c r="K4" s="4">
        <v>46152</v>
      </c>
      <c r="L4" s="2" t="s">
        <v>48</v>
      </c>
      <c r="M4" s="4">
        <v>46149</v>
      </c>
      <c r="N4" s="2" t="s">
        <v>46</v>
      </c>
      <c r="O4" s="2">
        <v>1</v>
      </c>
      <c r="P4" s="4">
        <v>46156</v>
      </c>
      <c r="Q4" s="2" t="s">
        <v>779</v>
      </c>
    </row>
    <row r="5" spans="1:17">
      <c r="A5" s="2" t="s">
        <v>946</v>
      </c>
      <c r="B5" s="2" t="s">
        <v>947</v>
      </c>
      <c r="C5" s="2" t="s">
        <v>948</v>
      </c>
      <c r="D5" s="2" t="s">
        <v>53</v>
      </c>
      <c r="E5" s="2" t="s">
        <v>86</v>
      </c>
      <c r="F5" s="2" t="s">
        <v>634</v>
      </c>
      <c r="G5" s="2" t="s">
        <v>515</v>
      </c>
      <c r="H5" s="2" t="s">
        <v>44</v>
      </c>
      <c r="I5" s="2" t="s">
        <v>949</v>
      </c>
      <c r="J5" s="2" t="s">
        <v>950</v>
      </c>
      <c r="K5" s="4">
        <v>46155</v>
      </c>
      <c r="L5" s="2" t="s">
        <v>67</v>
      </c>
      <c r="M5" s="4">
        <v>46152</v>
      </c>
      <c r="N5" s="2" t="s">
        <v>46</v>
      </c>
      <c r="O5" s="2">
        <v>2</v>
      </c>
      <c r="P5" s="4">
        <v>46156</v>
      </c>
      <c r="Q5" s="2" t="s">
        <v>787</v>
      </c>
    </row>
    <row r="6" spans="1:17" ht="28">
      <c r="A6" s="2" t="s">
        <v>951</v>
      </c>
      <c r="B6" s="2" t="s">
        <v>952</v>
      </c>
      <c r="C6" s="2" t="s">
        <v>953</v>
      </c>
      <c r="D6" s="2" t="s">
        <v>53</v>
      </c>
      <c r="E6" s="2" t="s">
        <v>96</v>
      </c>
      <c r="F6" s="2" t="s">
        <v>169</v>
      </c>
      <c r="G6" s="2" t="s">
        <v>518</v>
      </c>
      <c r="H6" s="2" t="s">
        <v>54</v>
      </c>
      <c r="I6" s="2" t="s">
        <v>954</v>
      </c>
      <c r="J6" s="2" t="s">
        <v>955</v>
      </c>
      <c r="K6" s="4" t="s">
        <v>207</v>
      </c>
      <c r="L6" s="2" t="s">
        <v>653</v>
      </c>
      <c r="M6" s="4">
        <v>46156</v>
      </c>
      <c r="N6" s="2" t="s">
        <v>56</v>
      </c>
      <c r="O6" s="2">
        <v>1</v>
      </c>
      <c r="P6" s="4">
        <v>46156</v>
      </c>
      <c r="Q6" s="2" t="s">
        <v>537</v>
      </c>
    </row>
    <row r="7" spans="1:17">
      <c r="A7" s="2" t="s">
        <v>956</v>
      </c>
      <c r="B7" s="2" t="s">
        <v>957</v>
      </c>
      <c r="C7" s="2" t="s">
        <v>958</v>
      </c>
      <c r="D7" s="2" t="s">
        <v>43</v>
      </c>
      <c r="E7" s="2" t="s">
        <v>62</v>
      </c>
      <c r="F7" s="2" t="s">
        <v>646</v>
      </c>
      <c r="G7" s="2" t="s">
        <v>518</v>
      </c>
      <c r="H7" s="2" t="s">
        <v>54</v>
      </c>
      <c r="I7" s="2" t="s">
        <v>959</v>
      </c>
      <c r="J7" s="2" t="s">
        <v>960</v>
      </c>
      <c r="K7" s="4">
        <v>46157</v>
      </c>
      <c r="L7" s="2" t="s">
        <v>48</v>
      </c>
      <c r="M7" s="4">
        <v>46156</v>
      </c>
      <c r="N7" s="2" t="s">
        <v>46</v>
      </c>
      <c r="O7" s="2">
        <v>2</v>
      </c>
      <c r="P7" s="4">
        <v>46156</v>
      </c>
      <c r="Q7" s="2" t="s">
        <v>961</v>
      </c>
    </row>
    <row r="8" spans="1:17">
      <c r="A8" s="2" t="s">
        <v>962</v>
      </c>
      <c r="B8" s="2" t="s">
        <v>963</v>
      </c>
      <c r="C8" s="2" t="s">
        <v>964</v>
      </c>
      <c r="D8" s="2" t="s">
        <v>53</v>
      </c>
      <c r="E8" s="2" t="s">
        <v>80</v>
      </c>
      <c r="F8" s="2" t="s">
        <v>656</v>
      </c>
      <c r="G8" s="2" t="s">
        <v>520</v>
      </c>
      <c r="H8" s="2" t="s">
        <v>54</v>
      </c>
      <c r="I8" s="2" t="s">
        <v>965</v>
      </c>
      <c r="J8" s="2" t="s">
        <v>966</v>
      </c>
      <c r="K8" s="4">
        <v>46157</v>
      </c>
      <c r="L8" s="2" t="s">
        <v>48</v>
      </c>
      <c r="M8" s="4">
        <v>46156</v>
      </c>
      <c r="N8" s="2" t="s">
        <v>46</v>
      </c>
      <c r="O8" s="2">
        <v>3</v>
      </c>
      <c r="P8" s="4">
        <v>46156</v>
      </c>
      <c r="Q8" s="2" t="s">
        <v>554</v>
      </c>
    </row>
    <row r="9" spans="1:17">
      <c r="A9" s="2" t="s">
        <v>967</v>
      </c>
      <c r="B9" s="2" t="s">
        <v>968</v>
      </c>
      <c r="C9" s="2" t="s">
        <v>969</v>
      </c>
      <c r="D9" s="2" t="s">
        <v>53</v>
      </c>
      <c r="E9" s="2" t="s">
        <v>86</v>
      </c>
      <c r="F9" s="2" t="s">
        <v>196</v>
      </c>
      <c r="G9" s="2" t="s">
        <v>520</v>
      </c>
      <c r="H9" s="2" t="s">
        <v>54</v>
      </c>
      <c r="I9" s="2" t="s">
        <v>970</v>
      </c>
      <c r="J9" s="2" t="s">
        <v>971</v>
      </c>
      <c r="K9" s="4">
        <v>46157</v>
      </c>
      <c r="L9" s="2" t="s">
        <v>972</v>
      </c>
      <c r="M9" s="4">
        <v>46156</v>
      </c>
      <c r="N9" s="2" t="s">
        <v>46</v>
      </c>
      <c r="O9" s="2">
        <v>4</v>
      </c>
      <c r="P9" s="4">
        <v>46156</v>
      </c>
      <c r="Q9" s="2" t="s">
        <v>554</v>
      </c>
    </row>
    <row r="10" spans="1:17">
      <c r="A10" s="2" t="s">
        <v>973</v>
      </c>
      <c r="B10" s="2" t="s">
        <v>974</v>
      </c>
      <c r="C10" s="2" t="s">
        <v>975</v>
      </c>
      <c r="D10" s="2" t="s">
        <v>53</v>
      </c>
      <c r="E10" s="2" t="s">
        <v>80</v>
      </c>
      <c r="F10" s="2" t="s">
        <v>175</v>
      </c>
      <c r="G10" s="2" t="s">
        <v>522</v>
      </c>
      <c r="H10" s="2" t="s">
        <v>54</v>
      </c>
      <c r="I10" s="2" t="s">
        <v>976</v>
      </c>
      <c r="J10" s="2" t="s">
        <v>977</v>
      </c>
      <c r="K10" s="4">
        <v>46162</v>
      </c>
      <c r="L10" s="2" t="s">
        <v>653</v>
      </c>
      <c r="M10" s="4">
        <v>46156</v>
      </c>
      <c r="N10" s="2" t="s">
        <v>46</v>
      </c>
      <c r="O10" s="2">
        <v>5</v>
      </c>
      <c r="P10" s="4">
        <v>46156</v>
      </c>
      <c r="Q10" s="2" t="s">
        <v>579</v>
      </c>
    </row>
    <row r="11" spans="1:17">
      <c r="A11" s="2" t="s">
        <v>978</v>
      </c>
      <c r="B11" s="2" t="s">
        <v>979</v>
      </c>
      <c r="C11" s="2" t="s">
        <v>980</v>
      </c>
      <c r="D11" s="2" t="s">
        <v>53</v>
      </c>
      <c r="E11" s="2" t="s">
        <v>52</v>
      </c>
      <c r="F11" s="2" t="s">
        <v>981</v>
      </c>
      <c r="G11" s="2" t="s">
        <v>522</v>
      </c>
      <c r="H11" s="2" t="s">
        <v>54</v>
      </c>
      <c r="I11" s="2" t="s">
        <v>982</v>
      </c>
      <c r="J11" s="2" t="s">
        <v>983</v>
      </c>
      <c r="K11" s="4">
        <v>46162</v>
      </c>
      <c r="L11" s="2" t="s">
        <v>653</v>
      </c>
      <c r="M11" s="4">
        <v>46156</v>
      </c>
      <c r="N11" s="2" t="s">
        <v>46</v>
      </c>
      <c r="O11" s="2">
        <v>6</v>
      </c>
      <c r="P11" s="4">
        <v>46156</v>
      </c>
      <c r="Q11" s="2" t="s">
        <v>579</v>
      </c>
    </row>
    <row r="12" spans="1:17">
      <c r="A12" s="2" t="s">
        <v>984</v>
      </c>
      <c r="B12" s="2" t="s">
        <v>985</v>
      </c>
      <c r="C12" s="2" t="s">
        <v>986</v>
      </c>
      <c r="D12" s="2" t="s">
        <v>63</v>
      </c>
      <c r="E12" s="2" t="s">
        <v>62</v>
      </c>
      <c r="F12" s="2" t="s">
        <v>987</v>
      </c>
      <c r="G12" s="2" t="s">
        <v>524</v>
      </c>
      <c r="H12" s="2" t="s">
        <v>54</v>
      </c>
      <c r="I12" s="2" t="s">
        <v>988</v>
      </c>
      <c r="J12" s="2" t="s">
        <v>989</v>
      </c>
      <c r="K12" s="4">
        <v>46157</v>
      </c>
      <c r="L12" s="2" t="s">
        <v>653</v>
      </c>
      <c r="M12" s="4">
        <v>46156</v>
      </c>
      <c r="N12" s="2" t="s">
        <v>46</v>
      </c>
      <c r="O12" s="2">
        <v>7</v>
      </c>
      <c r="P12" s="4">
        <v>46156</v>
      </c>
      <c r="Q12" s="2" t="s">
        <v>589</v>
      </c>
    </row>
    <row r="13" spans="1:17">
      <c r="A13" s="2" t="s">
        <v>990</v>
      </c>
      <c r="B13" s="2" t="s">
        <v>991</v>
      </c>
      <c r="C13" s="2" t="s">
        <v>992</v>
      </c>
      <c r="D13" s="2" t="s">
        <v>63</v>
      </c>
      <c r="E13" s="2" t="s">
        <v>62</v>
      </c>
      <c r="F13" s="2" t="s">
        <v>134</v>
      </c>
      <c r="G13" s="2" t="s">
        <v>526</v>
      </c>
      <c r="H13" s="2" t="s">
        <v>54</v>
      </c>
      <c r="I13" s="2" t="s">
        <v>993</v>
      </c>
      <c r="J13" s="2" t="s">
        <v>994</v>
      </c>
      <c r="K13" s="4">
        <v>46161</v>
      </c>
      <c r="L13" s="2" t="s">
        <v>653</v>
      </c>
      <c r="M13" s="4">
        <v>46156</v>
      </c>
      <c r="N13" s="2" t="s">
        <v>46</v>
      </c>
      <c r="O13" s="2">
        <v>8</v>
      </c>
      <c r="P13" s="4">
        <v>46156</v>
      </c>
      <c r="Q13" s="2" t="s">
        <v>596</v>
      </c>
    </row>
    <row r="14" spans="1:17">
      <c r="A14" s="2" t="s">
        <v>995</v>
      </c>
      <c r="B14" s="2" t="s">
        <v>996</v>
      </c>
      <c r="C14" s="2" t="s">
        <v>997</v>
      </c>
      <c r="D14" s="2" t="s">
        <v>53</v>
      </c>
      <c r="E14" s="2" t="s">
        <v>80</v>
      </c>
      <c r="F14" s="2" t="s">
        <v>726</v>
      </c>
      <c r="G14" s="2" t="s">
        <v>529</v>
      </c>
      <c r="H14" s="2" t="s">
        <v>296</v>
      </c>
      <c r="I14" s="2" t="s">
        <v>998</v>
      </c>
      <c r="J14" s="2" t="s">
        <v>999</v>
      </c>
      <c r="K14" s="4" t="s">
        <v>72</v>
      </c>
      <c r="L14" s="2" t="s">
        <v>48</v>
      </c>
      <c r="M14" s="4">
        <v>46156</v>
      </c>
      <c r="N14" s="2" t="s">
        <v>46</v>
      </c>
      <c r="O14" s="2">
        <v>9</v>
      </c>
      <c r="P14" s="4">
        <v>46156</v>
      </c>
      <c r="Q14" s="2" t="s">
        <v>603</v>
      </c>
    </row>
    <row r="15" spans="1:17">
      <c r="A15" s="2" t="s">
        <v>1000</v>
      </c>
      <c r="B15" s="2" t="s">
        <v>1001</v>
      </c>
      <c r="C15" s="2" t="s">
        <v>1002</v>
      </c>
      <c r="D15" s="2" t="s">
        <v>53</v>
      </c>
      <c r="E15" s="2" t="s">
        <v>62</v>
      </c>
      <c r="F15" s="2" t="s">
        <v>629</v>
      </c>
      <c r="G15" s="2" t="s">
        <v>529</v>
      </c>
      <c r="H15" s="2" t="s">
        <v>296</v>
      </c>
      <c r="I15" s="2" t="s">
        <v>1003</v>
      </c>
      <c r="J15" s="2" t="s">
        <v>1004</v>
      </c>
      <c r="K15" s="4">
        <v>46157</v>
      </c>
      <c r="L15" s="2" t="s">
        <v>48</v>
      </c>
      <c r="M15" s="4">
        <v>46156</v>
      </c>
      <c r="N15" s="2" t="s">
        <v>46</v>
      </c>
      <c r="O15" s="2">
        <v>10</v>
      </c>
      <c r="P15" s="4">
        <v>46156</v>
      </c>
      <c r="Q15" s="2" t="s">
        <v>603</v>
      </c>
    </row>
    <row r="16" spans="1:17">
      <c r="A16" s="2" t="s">
        <v>1005</v>
      </c>
      <c r="B16" s="2" t="s">
        <v>1006</v>
      </c>
      <c r="C16" s="2" t="s">
        <v>1007</v>
      </c>
      <c r="D16" s="2" t="s">
        <v>53</v>
      </c>
      <c r="E16" s="2" t="s">
        <v>86</v>
      </c>
      <c r="F16" s="2" t="s">
        <v>720</v>
      </c>
      <c r="G16" s="2" t="s">
        <v>529</v>
      </c>
      <c r="H16" s="2" t="s">
        <v>296</v>
      </c>
      <c r="I16" s="2" t="s">
        <v>1008</v>
      </c>
      <c r="J16" s="2" t="s">
        <v>1009</v>
      </c>
      <c r="K16" s="4">
        <v>46157</v>
      </c>
      <c r="L16" s="2" t="s">
        <v>48</v>
      </c>
      <c r="M16" s="4">
        <v>46156</v>
      </c>
      <c r="N16" s="2" t="s">
        <v>46</v>
      </c>
      <c r="O16" s="2">
        <v>11</v>
      </c>
      <c r="P16" s="4">
        <v>46156</v>
      </c>
      <c r="Q16" s="2" t="s">
        <v>603</v>
      </c>
    </row>
    <row r="17" spans="1:17">
      <c r="A17" s="2" t="s">
        <v>1010</v>
      </c>
      <c r="B17" s="2" t="s">
        <v>1011</v>
      </c>
      <c r="C17" s="2" t="s">
        <v>1012</v>
      </c>
      <c r="D17" s="2" t="s">
        <v>63</v>
      </c>
      <c r="E17" s="2" t="s">
        <v>62</v>
      </c>
      <c r="F17" s="2" t="s">
        <v>715</v>
      </c>
      <c r="G17" s="2" t="s">
        <v>530</v>
      </c>
      <c r="H17" s="2" t="s">
        <v>296</v>
      </c>
      <c r="I17" s="2" t="s">
        <v>1013</v>
      </c>
      <c r="J17" s="2" t="s">
        <v>1014</v>
      </c>
      <c r="K17" s="4">
        <v>46157</v>
      </c>
      <c r="L17" s="2" t="s">
        <v>48</v>
      </c>
      <c r="M17" s="4">
        <v>46156</v>
      </c>
      <c r="N17" s="2" t="s">
        <v>46</v>
      </c>
      <c r="O17" s="2">
        <v>12</v>
      </c>
      <c r="P17" s="4">
        <v>46156</v>
      </c>
      <c r="Q17" s="2" t="s">
        <v>1015</v>
      </c>
    </row>
    <row r="18" spans="1:17">
      <c r="A18" s="2" t="s">
        <v>1016</v>
      </c>
      <c r="B18" s="2" t="s">
        <v>1017</v>
      </c>
      <c r="C18" s="2" t="s">
        <v>1018</v>
      </c>
      <c r="D18" s="2" t="s">
        <v>53</v>
      </c>
      <c r="E18" s="2" t="s">
        <v>52</v>
      </c>
      <c r="F18" s="2" t="s">
        <v>743</v>
      </c>
      <c r="G18" s="2" t="s">
        <v>530</v>
      </c>
      <c r="H18" s="2" t="s">
        <v>296</v>
      </c>
      <c r="I18" s="2" t="s">
        <v>1019</v>
      </c>
      <c r="J18" s="2" t="s">
        <v>1020</v>
      </c>
      <c r="K18" s="4" t="s">
        <v>744</v>
      </c>
      <c r="L18" s="2" t="s">
        <v>48</v>
      </c>
      <c r="M18" s="4">
        <v>46156</v>
      </c>
      <c r="N18" s="2" t="s">
        <v>46</v>
      </c>
      <c r="O18" s="2">
        <v>13</v>
      </c>
      <c r="P18" s="4">
        <v>46156</v>
      </c>
      <c r="Q18" s="2" t="s">
        <v>609</v>
      </c>
    </row>
    <row r="19" spans="1:17">
      <c r="A19" s="2" t="s">
        <v>1021</v>
      </c>
      <c r="B19" s="2" t="s">
        <v>1022</v>
      </c>
      <c r="C19" s="2" t="s">
        <v>1023</v>
      </c>
      <c r="D19" s="2" t="s">
        <v>63</v>
      </c>
      <c r="E19" s="2" t="s">
        <v>316</v>
      </c>
      <c r="F19" s="2" t="s">
        <v>169</v>
      </c>
      <c r="G19" s="2" t="s">
        <v>534</v>
      </c>
      <c r="H19" s="2" t="s">
        <v>309</v>
      </c>
      <c r="I19" s="2" t="s">
        <v>1024</v>
      </c>
      <c r="J19" s="2" t="s">
        <v>1025</v>
      </c>
      <c r="K19" s="4"/>
      <c r="L19" s="2" t="s">
        <v>48</v>
      </c>
      <c r="M19" s="4">
        <v>46155</v>
      </c>
      <c r="N19" s="2" t="s">
        <v>56</v>
      </c>
      <c r="O19" s="2">
        <v>14</v>
      </c>
      <c r="P19" s="4">
        <v>46156</v>
      </c>
      <c r="Q19" s="2" t="s">
        <v>616</v>
      </c>
    </row>
    <row r="20" spans="1:17">
      <c r="A20" s="2" t="s">
        <v>1026</v>
      </c>
      <c r="B20" s="2" t="s">
        <v>1027</v>
      </c>
      <c r="C20" s="2" t="s">
        <v>1028</v>
      </c>
      <c r="D20" s="2" t="s">
        <v>53</v>
      </c>
      <c r="E20" s="2" t="s">
        <v>86</v>
      </c>
      <c r="F20" s="2" t="s">
        <v>169</v>
      </c>
      <c r="G20" s="2"/>
      <c r="H20" s="2" t="s">
        <v>1029</v>
      </c>
      <c r="I20" s="2" t="s">
        <v>1030</v>
      </c>
      <c r="J20" s="2" t="s">
        <v>1031</v>
      </c>
      <c r="K20" s="4">
        <v>46157</v>
      </c>
      <c r="L20" s="2" t="s">
        <v>48</v>
      </c>
      <c r="M20" s="4">
        <v>46156</v>
      </c>
      <c r="N20" s="2" t="s">
        <v>46</v>
      </c>
      <c r="O20" s="2">
        <v>99</v>
      </c>
      <c r="P20" s="4">
        <v>46156</v>
      </c>
      <c r="Q20" s="2" t="s">
        <v>1032</v>
      </c>
    </row>
    <row r="21" spans="1:17">
      <c r="A21" s="2" t="s">
        <v>1033</v>
      </c>
      <c r="B21" s="2" t="s">
        <v>1034</v>
      </c>
      <c r="C21" s="2" t="s">
        <v>1035</v>
      </c>
      <c r="D21" s="2" t="s">
        <v>53</v>
      </c>
      <c r="E21" s="2" t="s">
        <v>86</v>
      </c>
      <c r="F21" s="2" t="s">
        <v>767</v>
      </c>
      <c r="G21" s="2"/>
      <c r="H21" s="2" t="s">
        <v>1029</v>
      </c>
      <c r="I21" s="2" t="s">
        <v>1036</v>
      </c>
      <c r="J21" s="2" t="s">
        <v>1037</v>
      </c>
      <c r="K21" s="4">
        <v>46155</v>
      </c>
      <c r="L21" s="2" t="s">
        <v>67</v>
      </c>
      <c r="M21" s="4">
        <v>46152</v>
      </c>
      <c r="N21" s="2" t="s">
        <v>46</v>
      </c>
      <c r="O21" s="2">
        <v>100</v>
      </c>
      <c r="P21" s="4">
        <v>46156</v>
      </c>
      <c r="Q21" s="2" t="s">
        <v>1038</v>
      </c>
    </row>
    <row r="22" spans="1:17">
      <c r="A22" s="2"/>
      <c r="B22" s="2"/>
      <c r="C22" s="2"/>
      <c r="D22" s="2"/>
      <c r="E22" s="2"/>
      <c r="F22" s="2"/>
      <c r="G22" s="2"/>
      <c r="H22" s="2"/>
      <c r="I22" s="2"/>
      <c r="J22" s="2"/>
      <c r="K22" s="4"/>
      <c r="L22" s="2"/>
      <c r="M22" s="4"/>
      <c r="N22" s="2"/>
      <c r="O22" s="2"/>
      <c r="P22" s="4"/>
      <c r="Q22" s="2"/>
    </row>
    <row r="23" spans="1:17">
      <c r="A23" s="2"/>
      <c r="B23" s="2"/>
      <c r="C23" s="2"/>
      <c r="D23" s="2"/>
      <c r="E23" s="2"/>
      <c r="F23" s="2"/>
      <c r="G23" s="2"/>
      <c r="H23" s="2"/>
      <c r="I23" s="2"/>
      <c r="J23" s="2"/>
      <c r="K23" s="4"/>
      <c r="L23" s="2"/>
      <c r="M23" s="4"/>
      <c r="N23" s="2"/>
      <c r="O23" s="2"/>
      <c r="P23" s="4"/>
      <c r="Q23" s="2"/>
    </row>
    <row r="24" spans="1:17">
      <c r="A24" s="2"/>
      <c r="B24" s="2"/>
      <c r="C24" s="2"/>
      <c r="D24" s="2"/>
      <c r="E24" s="2"/>
      <c r="F24" s="2"/>
      <c r="G24" s="2"/>
      <c r="H24" s="2"/>
      <c r="I24" s="2"/>
      <c r="J24" s="2"/>
      <c r="K24" s="4"/>
      <c r="L24" s="2"/>
      <c r="M24" s="4"/>
      <c r="N24" s="2"/>
      <c r="O24" s="2"/>
      <c r="P24" s="4"/>
      <c r="Q24" s="2"/>
    </row>
    <row r="25" spans="1:17">
      <c r="A25" s="2"/>
      <c r="B25" s="2"/>
      <c r="C25" s="2"/>
      <c r="D25" s="2"/>
      <c r="E25" s="2"/>
      <c r="F25" s="2"/>
      <c r="G25" s="2"/>
      <c r="H25" s="2"/>
      <c r="I25" s="2"/>
      <c r="J25" s="2"/>
      <c r="K25" s="4"/>
      <c r="L25" s="2"/>
      <c r="M25" s="4"/>
      <c r="N25" s="2"/>
      <c r="O25" s="2"/>
      <c r="P25" s="4"/>
      <c r="Q25" s="2"/>
    </row>
    <row r="26" spans="1:17">
      <c r="A26" s="2"/>
      <c r="B26" s="2"/>
      <c r="C26" s="2"/>
      <c r="D26" s="2"/>
      <c r="E26" s="2"/>
      <c r="F26" s="2"/>
      <c r="G26" s="2"/>
      <c r="H26" s="2"/>
      <c r="I26" s="2"/>
      <c r="J26" s="2"/>
      <c r="K26" s="4"/>
      <c r="L26" s="2"/>
      <c r="M26" s="4"/>
      <c r="N26" s="2"/>
      <c r="O26" s="2"/>
      <c r="P26" s="4"/>
      <c r="Q26" s="2"/>
    </row>
    <row r="27" spans="1:17">
      <c r="A27" s="2"/>
      <c r="B27" s="2"/>
      <c r="C27" s="2"/>
      <c r="D27" s="2"/>
      <c r="E27" s="2"/>
      <c r="F27" s="2"/>
      <c r="G27" s="2"/>
      <c r="H27" s="2"/>
      <c r="I27" s="2"/>
      <c r="J27" s="2"/>
      <c r="K27" s="4"/>
      <c r="L27" s="2"/>
      <c r="M27" s="4"/>
      <c r="N27" s="2"/>
      <c r="O27" s="2"/>
      <c r="P27" s="4"/>
      <c r="Q27" s="2"/>
    </row>
    <row r="28" spans="1:17">
      <c r="A28" s="2"/>
      <c r="B28" s="2"/>
      <c r="C28" s="2"/>
      <c r="D28" s="2"/>
      <c r="E28" s="2"/>
      <c r="F28" s="2"/>
      <c r="G28" s="2"/>
      <c r="H28" s="2"/>
      <c r="I28" s="2"/>
      <c r="J28" s="2"/>
      <c r="K28" s="4"/>
      <c r="L28" s="2"/>
      <c r="M28" s="4"/>
      <c r="N28" s="2"/>
      <c r="O28" s="2"/>
      <c r="P28" s="4"/>
      <c r="Q28" s="2"/>
    </row>
    <row r="29" spans="1:17">
      <c r="A29" s="2"/>
      <c r="B29" s="2"/>
      <c r="C29" s="2"/>
      <c r="D29" s="2"/>
      <c r="E29" s="2"/>
      <c r="F29" s="2"/>
      <c r="G29" s="2"/>
      <c r="H29" s="2"/>
      <c r="I29" s="2"/>
      <c r="J29" s="2"/>
      <c r="K29" s="4"/>
      <c r="L29" s="2"/>
      <c r="M29" s="4"/>
      <c r="N29" s="2"/>
      <c r="O29" s="2"/>
      <c r="P29" s="4"/>
      <c r="Q29" s="2"/>
    </row>
    <row r="30" spans="1:17">
      <c r="A30" s="2"/>
      <c r="B30" s="2"/>
      <c r="C30" s="2"/>
      <c r="D30" s="2"/>
      <c r="E30" s="2"/>
      <c r="F30" s="2"/>
      <c r="G30" s="2"/>
      <c r="H30" s="2"/>
      <c r="I30" s="2"/>
      <c r="J30" s="2"/>
      <c r="K30" s="4"/>
      <c r="L30" s="2"/>
      <c r="M30" s="4"/>
      <c r="N30" s="2"/>
      <c r="O30" s="2"/>
      <c r="P30" s="4"/>
      <c r="Q30" s="2"/>
    </row>
    <row r="31" spans="1:17">
      <c r="A31" s="2"/>
      <c r="B31" s="2"/>
      <c r="C31" s="2"/>
      <c r="D31" s="2"/>
      <c r="E31" s="2"/>
      <c r="F31" s="2"/>
      <c r="G31" s="2"/>
      <c r="H31" s="2"/>
      <c r="I31" s="2"/>
      <c r="J31" s="2"/>
      <c r="K31" s="4"/>
      <c r="L31" s="2"/>
      <c r="M31" s="4"/>
      <c r="N31" s="2"/>
      <c r="O31" s="2"/>
      <c r="P31" s="4"/>
      <c r="Q31" s="2"/>
    </row>
    <row r="32" spans="1:17">
      <c r="A32" s="2"/>
      <c r="B32" s="2"/>
      <c r="C32" s="2"/>
      <c r="D32" s="2"/>
      <c r="E32" s="2"/>
      <c r="F32" s="2"/>
      <c r="G32" s="2"/>
      <c r="H32" s="2"/>
      <c r="I32" s="2"/>
      <c r="J32" s="2"/>
      <c r="K32" s="4"/>
      <c r="L32" s="2"/>
      <c r="M32" s="4"/>
      <c r="N32" s="2"/>
      <c r="O32" s="2"/>
      <c r="P32" s="4"/>
      <c r="Q32" s="2"/>
    </row>
    <row r="33" spans="1:17">
      <c r="A33" s="2"/>
      <c r="B33" s="2"/>
      <c r="C33" s="2"/>
      <c r="D33" s="2"/>
      <c r="E33" s="2"/>
      <c r="F33" s="2"/>
      <c r="G33" s="2"/>
      <c r="H33" s="2"/>
      <c r="I33" s="2"/>
      <c r="J33" s="2"/>
      <c r="K33" s="4"/>
      <c r="L33" s="2"/>
      <c r="M33" s="4"/>
      <c r="N33" s="2"/>
      <c r="O33" s="2"/>
      <c r="P33" s="4"/>
      <c r="Q33" s="2"/>
    </row>
    <row r="34" spans="1:17">
      <c r="A34" s="2"/>
      <c r="B34" s="2"/>
      <c r="C34" s="2"/>
      <c r="D34" s="2"/>
      <c r="E34" s="2"/>
      <c r="F34" s="2"/>
      <c r="G34" s="2"/>
      <c r="H34" s="2"/>
      <c r="I34" s="2"/>
      <c r="J34" s="2"/>
      <c r="K34" s="4"/>
      <c r="L34" s="2"/>
      <c r="M34" s="4"/>
      <c r="N34" s="2"/>
      <c r="O34" s="2"/>
      <c r="P34" s="4"/>
      <c r="Q34" s="2"/>
    </row>
    <row r="35" spans="1:17">
      <c r="A35" s="2"/>
      <c r="B35" s="2"/>
      <c r="C35" s="2"/>
      <c r="D35" s="2"/>
      <c r="E35" s="2"/>
      <c r="F35" s="2"/>
      <c r="G35" s="2"/>
      <c r="H35" s="2"/>
      <c r="I35" s="2"/>
      <c r="J35" s="2"/>
      <c r="K35" s="4"/>
      <c r="L35" s="2"/>
      <c r="M35" s="4"/>
      <c r="N35" s="2"/>
      <c r="O35" s="2"/>
      <c r="P35" s="4"/>
      <c r="Q35" s="2"/>
    </row>
    <row r="36" spans="1:17">
      <c r="A36" s="2"/>
      <c r="B36" s="2"/>
      <c r="C36" s="2"/>
      <c r="D36" s="2"/>
      <c r="E36" s="2"/>
      <c r="F36" s="2"/>
      <c r="G36" s="2"/>
      <c r="H36" s="2"/>
      <c r="I36" s="2"/>
      <c r="J36" s="2"/>
      <c r="K36" s="4"/>
      <c r="L36" s="2"/>
      <c r="M36" s="4"/>
      <c r="N36" s="2"/>
      <c r="O36" s="2"/>
      <c r="P36" s="4"/>
      <c r="Q36" s="2"/>
    </row>
    <row r="37" spans="1:17">
      <c r="A37" s="2"/>
      <c r="B37" s="2"/>
      <c r="C37" s="2"/>
      <c r="D37" s="2"/>
      <c r="E37" s="2"/>
      <c r="F37" s="2"/>
      <c r="G37" s="2"/>
      <c r="H37" s="2"/>
      <c r="I37" s="2"/>
      <c r="J37" s="2"/>
      <c r="K37" s="4"/>
      <c r="L37" s="2"/>
      <c r="M37" s="4"/>
      <c r="N37" s="2"/>
      <c r="O37" s="2"/>
      <c r="P37" s="4"/>
      <c r="Q37" s="2"/>
    </row>
    <row r="38" spans="1:17">
      <c r="A38" s="2"/>
      <c r="B38" s="2"/>
      <c r="C38" s="2"/>
      <c r="D38" s="2"/>
      <c r="E38" s="2"/>
      <c r="F38" s="2"/>
      <c r="G38" s="2"/>
      <c r="H38" s="2"/>
      <c r="I38" s="2"/>
      <c r="J38" s="2"/>
      <c r="K38" s="4"/>
      <c r="L38" s="2"/>
      <c r="M38" s="4"/>
      <c r="N38" s="2"/>
      <c r="O38" s="2"/>
      <c r="P38" s="4"/>
      <c r="Q38" s="2"/>
    </row>
    <row r="39" spans="1:17">
      <c r="A39" s="2"/>
      <c r="B39" s="2"/>
      <c r="C39" s="2"/>
      <c r="D39" s="2"/>
      <c r="E39" s="2"/>
      <c r="F39" s="2"/>
      <c r="G39" s="2"/>
      <c r="H39" s="2"/>
      <c r="I39" s="2"/>
      <c r="J39" s="2"/>
      <c r="K39" s="4"/>
      <c r="L39" s="2"/>
      <c r="M39" s="4"/>
      <c r="N39" s="2"/>
      <c r="O39" s="2"/>
      <c r="P39" s="4"/>
      <c r="Q39" s="2"/>
    </row>
    <row r="40" spans="1:17">
      <c r="A40" s="2"/>
      <c r="B40" s="2"/>
      <c r="C40" s="2"/>
      <c r="D40" s="2"/>
      <c r="E40" s="2"/>
      <c r="F40" s="2"/>
      <c r="G40" s="2"/>
      <c r="H40" s="2"/>
      <c r="I40" s="2"/>
      <c r="J40" s="2"/>
      <c r="K40" s="4"/>
      <c r="L40" s="2"/>
      <c r="M40" s="4"/>
      <c r="N40" s="2"/>
      <c r="O40" s="2"/>
      <c r="P40" s="4"/>
      <c r="Q40" s="2"/>
    </row>
    <row r="41" spans="1:17">
      <c r="A41" s="2"/>
      <c r="B41" s="2"/>
      <c r="C41" s="2"/>
      <c r="D41" s="2"/>
      <c r="E41" s="2"/>
      <c r="F41" s="2"/>
      <c r="G41" s="2"/>
      <c r="H41" s="2"/>
      <c r="I41" s="2"/>
      <c r="J41" s="2"/>
      <c r="K41" s="4"/>
      <c r="L41" s="2"/>
      <c r="M41" s="4"/>
      <c r="N41" s="2"/>
      <c r="O41" s="2"/>
      <c r="P41" s="4"/>
      <c r="Q41" s="2"/>
    </row>
    <row r="42" spans="1:17">
      <c r="A42" s="2"/>
      <c r="B42" s="2"/>
      <c r="C42" s="2"/>
      <c r="D42" s="2"/>
      <c r="E42" s="2"/>
      <c r="F42" s="2"/>
      <c r="G42" s="2"/>
      <c r="H42" s="2"/>
      <c r="I42" s="2"/>
      <c r="J42" s="2"/>
      <c r="K42" s="4"/>
      <c r="L42" s="2"/>
      <c r="M42" s="4"/>
      <c r="N42" s="2"/>
      <c r="O42" s="2"/>
      <c r="P42" s="4"/>
      <c r="Q42" s="2"/>
    </row>
    <row r="43" spans="1:17">
      <c r="A43" s="2"/>
      <c r="B43" s="2"/>
      <c r="C43" s="2"/>
      <c r="D43" s="2"/>
      <c r="E43" s="2"/>
      <c r="F43" s="2"/>
      <c r="G43" s="2"/>
      <c r="H43" s="2"/>
      <c r="I43" s="2"/>
      <c r="J43" s="2"/>
      <c r="K43" s="4"/>
      <c r="L43" s="2"/>
      <c r="M43" s="4"/>
      <c r="N43" s="2"/>
      <c r="O43" s="2"/>
      <c r="P43" s="4"/>
      <c r="Q43" s="2"/>
    </row>
    <row r="44" spans="1:17">
      <c r="A44" s="2"/>
      <c r="B44" s="2"/>
      <c r="C44" s="2"/>
      <c r="D44" s="2"/>
      <c r="E44" s="2"/>
      <c r="F44" s="2"/>
      <c r="G44" s="2"/>
      <c r="H44" s="2"/>
      <c r="I44" s="2"/>
      <c r="J44" s="2"/>
      <c r="K44" s="4"/>
      <c r="L44" s="2"/>
      <c r="M44" s="4"/>
      <c r="N44" s="2"/>
      <c r="O44" s="2"/>
      <c r="P44" s="4"/>
      <c r="Q44" s="2"/>
    </row>
    <row r="45" spans="1:17">
      <c r="A45" s="2"/>
      <c r="B45" s="2"/>
      <c r="C45" s="2"/>
      <c r="D45" s="2"/>
      <c r="E45" s="2"/>
      <c r="F45" s="2"/>
      <c r="G45" s="2"/>
      <c r="H45" s="2"/>
      <c r="I45" s="2"/>
      <c r="J45" s="2"/>
      <c r="K45" s="4"/>
      <c r="L45" s="2"/>
      <c r="M45" s="4"/>
      <c r="N45" s="2"/>
      <c r="O45" s="2"/>
      <c r="P45" s="4"/>
      <c r="Q45" s="2"/>
    </row>
    <row r="46" spans="1:17">
      <c r="A46" s="2"/>
      <c r="B46" s="2"/>
      <c r="C46" s="2"/>
      <c r="D46" s="2"/>
      <c r="E46" s="2"/>
      <c r="F46" s="2"/>
      <c r="G46" s="2"/>
      <c r="H46" s="2"/>
      <c r="I46" s="2"/>
      <c r="J46" s="2"/>
      <c r="K46" s="4"/>
      <c r="L46" s="2"/>
      <c r="M46" s="4"/>
      <c r="N46" s="2"/>
      <c r="O46" s="2"/>
      <c r="P46" s="4"/>
      <c r="Q46" s="2"/>
    </row>
    <row r="47" spans="1:17">
      <c r="A47" s="2"/>
      <c r="B47" s="2"/>
      <c r="C47" s="2"/>
      <c r="D47" s="2"/>
      <c r="E47" s="2"/>
      <c r="F47" s="2"/>
      <c r="G47" s="2"/>
      <c r="H47" s="2"/>
      <c r="I47" s="2"/>
      <c r="J47" s="2"/>
      <c r="K47" s="4"/>
      <c r="L47" s="2"/>
      <c r="M47" s="4"/>
      <c r="N47" s="2"/>
      <c r="O47" s="2"/>
      <c r="P47" s="4"/>
      <c r="Q47" s="2"/>
    </row>
    <row r="48" spans="1:17">
      <c r="A48" s="2"/>
      <c r="B48" s="2"/>
      <c r="C48" s="2"/>
      <c r="D48" s="2"/>
      <c r="E48" s="2"/>
      <c r="F48" s="2"/>
      <c r="G48" s="2"/>
      <c r="H48" s="2"/>
      <c r="I48" s="2"/>
      <c r="J48" s="2"/>
      <c r="K48" s="4"/>
      <c r="L48" s="2"/>
      <c r="M48" s="4"/>
      <c r="N48" s="2"/>
      <c r="O48" s="2"/>
      <c r="P48" s="4"/>
      <c r="Q48" s="2"/>
    </row>
    <row r="49" spans="1:17">
      <c r="A49" s="2"/>
      <c r="B49" s="2"/>
      <c r="C49" s="2"/>
      <c r="D49" s="2"/>
      <c r="E49" s="2"/>
      <c r="F49" s="2"/>
      <c r="G49" s="2"/>
      <c r="H49" s="2"/>
      <c r="I49" s="2"/>
      <c r="J49" s="2"/>
      <c r="K49" s="4"/>
      <c r="L49" s="2"/>
      <c r="M49" s="4"/>
      <c r="N49" s="2"/>
      <c r="O49" s="2"/>
      <c r="P49" s="4"/>
      <c r="Q49" s="2"/>
    </row>
    <row r="50" spans="1:17">
      <c r="A50" s="2"/>
      <c r="B50" s="2"/>
      <c r="C50" s="2"/>
      <c r="D50" s="2"/>
      <c r="E50" s="2"/>
      <c r="F50" s="2"/>
      <c r="G50" s="2"/>
      <c r="H50" s="2"/>
      <c r="I50" s="2"/>
      <c r="J50" s="2"/>
      <c r="K50" s="4"/>
      <c r="L50" s="2"/>
      <c r="M50" s="4"/>
      <c r="N50" s="2"/>
      <c r="O50" s="2"/>
      <c r="P50" s="4"/>
      <c r="Q50" s="2"/>
    </row>
    <row r="51" spans="1:17">
      <c r="A51" s="2"/>
      <c r="B51" s="2"/>
      <c r="C51" s="2"/>
      <c r="D51" s="2"/>
      <c r="E51" s="2"/>
      <c r="F51" s="2"/>
      <c r="G51" s="2"/>
      <c r="H51" s="2"/>
      <c r="I51" s="2"/>
      <c r="J51" s="2"/>
      <c r="K51" s="4"/>
      <c r="L51" s="2"/>
      <c r="M51" s="4"/>
      <c r="N51" s="2"/>
      <c r="O51" s="2"/>
      <c r="P51" s="4"/>
      <c r="Q51" s="2"/>
    </row>
    <row r="52" spans="1:17">
      <c r="A52" s="2"/>
      <c r="B52" s="2"/>
      <c r="C52" s="2"/>
      <c r="D52" s="2"/>
      <c r="E52" s="2"/>
      <c r="F52" s="2"/>
      <c r="G52" s="2"/>
      <c r="H52" s="2"/>
      <c r="I52" s="2"/>
      <c r="J52" s="2"/>
      <c r="K52" s="4"/>
      <c r="L52" s="2"/>
      <c r="M52" s="4"/>
      <c r="N52" s="2"/>
      <c r="O52" s="2"/>
      <c r="P52" s="4"/>
      <c r="Q52" s="2"/>
    </row>
    <row r="53" spans="1:17">
      <c r="A53" s="2"/>
      <c r="B53" s="2"/>
      <c r="C53" s="2"/>
      <c r="D53" s="2"/>
      <c r="E53" s="2"/>
      <c r="F53" s="2"/>
      <c r="G53" s="2"/>
      <c r="H53" s="2"/>
      <c r="I53" s="2"/>
      <c r="J53" s="2"/>
      <c r="K53" s="4"/>
      <c r="L53" s="2"/>
      <c r="M53" s="4"/>
      <c r="N53" s="2"/>
      <c r="O53" s="2"/>
      <c r="P53" s="4"/>
      <c r="Q53" s="2"/>
    </row>
    <row r="54" spans="1:17">
      <c r="K54" s="5"/>
      <c r="M54" s="5"/>
      <c r="P54" s="5"/>
    </row>
    <row r="55" spans="1:17">
      <c r="K55" s="5"/>
      <c r="M55" s="5"/>
      <c r="P55" s="5"/>
    </row>
    <row r="56" spans="1:17">
      <c r="K56" s="5"/>
      <c r="M56" s="5"/>
      <c r="P56" s="5"/>
    </row>
    <row r="57" spans="1:17">
      <c r="K57" s="5"/>
      <c r="M57" s="5"/>
      <c r="P57" s="5"/>
    </row>
    <row r="58" spans="1:17">
      <c r="K58" s="5"/>
      <c r="M58" s="5"/>
      <c r="P58" s="5"/>
    </row>
    <row r="59" spans="1:17">
      <c r="K59" s="5"/>
      <c r="M59" s="5"/>
      <c r="P59" s="5"/>
    </row>
    <row r="60" spans="1:17">
      <c r="K60" s="5"/>
      <c r="M60" s="5"/>
      <c r="P60" s="5"/>
    </row>
    <row r="61" spans="1:17">
      <c r="K61" s="5"/>
      <c r="M61" s="5"/>
      <c r="P61" s="5"/>
    </row>
    <row r="62" spans="1:17">
      <c r="K62" s="5"/>
      <c r="M62" s="5"/>
      <c r="P62" s="5"/>
    </row>
    <row r="63" spans="1:17">
      <c r="K63" s="5"/>
      <c r="M63" s="5"/>
      <c r="P63" s="5"/>
    </row>
    <row r="64" spans="1:17">
      <c r="K64" s="5"/>
      <c r="M64" s="5"/>
      <c r="P64" s="5"/>
    </row>
    <row r="65" spans="11:16">
      <c r="K65" s="5"/>
      <c r="M65" s="5"/>
      <c r="P65" s="5"/>
    </row>
    <row r="66" spans="11:16">
      <c r="K66" s="5"/>
      <c r="M66" s="5"/>
      <c r="P66" s="5"/>
    </row>
    <row r="67" spans="11:16">
      <c r="K67" s="5"/>
      <c r="M67" s="5"/>
      <c r="P67" s="5"/>
    </row>
    <row r="68" spans="11:16">
      <c r="K68" s="5"/>
      <c r="M68" s="5"/>
      <c r="P68" s="5"/>
    </row>
    <row r="69" spans="11:16">
      <c r="K69" s="5"/>
      <c r="M69" s="5"/>
      <c r="P69" s="5"/>
    </row>
    <row r="70" spans="11:16">
      <c r="K70" s="5"/>
      <c r="M70" s="5"/>
      <c r="P70" s="5"/>
    </row>
    <row r="71" spans="11:16">
      <c r="K71" s="5"/>
      <c r="M71" s="5"/>
      <c r="P71" s="5"/>
    </row>
    <row r="72" spans="11:16">
      <c r="K72" s="5"/>
      <c r="M72" s="5"/>
      <c r="P72" s="5"/>
    </row>
    <row r="73" spans="11:16">
      <c r="K73" s="5"/>
      <c r="M73" s="5"/>
      <c r="P73" s="5"/>
    </row>
    <row r="74" spans="11:16">
      <c r="K74" s="5"/>
      <c r="M74" s="5"/>
      <c r="P74" s="5"/>
    </row>
    <row r="75" spans="11:16">
      <c r="K75" s="5"/>
      <c r="M75" s="5"/>
      <c r="P75" s="5"/>
    </row>
    <row r="76" spans="11:16">
      <c r="K76" s="5"/>
      <c r="M76" s="5"/>
      <c r="P76" s="5"/>
    </row>
    <row r="77" spans="11:16">
      <c r="K77" s="5"/>
      <c r="M77" s="5"/>
      <c r="P77" s="5"/>
    </row>
    <row r="78" spans="11:16">
      <c r="K78" s="5"/>
      <c r="M78" s="5"/>
      <c r="P78" s="5"/>
    </row>
    <row r="79" spans="11:16">
      <c r="K79" s="5"/>
      <c r="M79" s="5"/>
      <c r="P79" s="5"/>
    </row>
    <row r="80" spans="11:16">
      <c r="K80" s="5"/>
      <c r="M80" s="5"/>
      <c r="P80" s="5"/>
    </row>
    <row r="81" spans="11:16">
      <c r="K81" s="5"/>
      <c r="M81" s="5"/>
      <c r="P81" s="5"/>
    </row>
    <row r="82" spans="11:16">
      <c r="K82" s="5"/>
      <c r="M82" s="5"/>
      <c r="P82" s="5"/>
    </row>
    <row r="83" spans="11:16">
      <c r="K83" s="5"/>
      <c r="M83" s="5"/>
      <c r="P83" s="5"/>
    </row>
    <row r="84" spans="11:16">
      <c r="K84" s="5"/>
      <c r="M84" s="5"/>
      <c r="P84" s="5"/>
    </row>
    <row r="85" spans="11:16">
      <c r="K85" s="5"/>
      <c r="M85" s="5"/>
      <c r="P85" s="5"/>
    </row>
    <row r="86" spans="11:16">
      <c r="K86" s="5"/>
      <c r="M86" s="5"/>
      <c r="P86" s="5"/>
    </row>
    <row r="87" spans="11:16">
      <c r="K87" s="5"/>
      <c r="M87" s="5"/>
      <c r="P87" s="5"/>
    </row>
    <row r="88" spans="11:16">
      <c r="K88" s="5"/>
      <c r="M88" s="5"/>
      <c r="P88" s="5"/>
    </row>
    <row r="89" spans="11:16">
      <c r="K89" s="5"/>
      <c r="M89" s="5"/>
      <c r="P89" s="5"/>
    </row>
    <row r="90" spans="11:16">
      <c r="K90" s="5"/>
      <c r="M90" s="5"/>
      <c r="P90" s="5"/>
    </row>
    <row r="91" spans="11:16">
      <c r="K91" s="5"/>
      <c r="M91" s="5"/>
      <c r="P91" s="5"/>
    </row>
    <row r="92" spans="11:16">
      <c r="K92" s="5"/>
      <c r="M92" s="5"/>
      <c r="P92" s="5"/>
    </row>
    <row r="93" spans="11:16">
      <c r="K93" s="5"/>
      <c r="M93" s="5"/>
      <c r="P93" s="5"/>
    </row>
    <row r="94" spans="11:16">
      <c r="K94" s="5"/>
      <c r="M94" s="5"/>
      <c r="P94" s="5"/>
    </row>
    <row r="95" spans="11:16">
      <c r="K95" s="5"/>
      <c r="M95" s="5"/>
      <c r="P95" s="5"/>
    </row>
    <row r="96" spans="11:16">
      <c r="K96" s="5"/>
      <c r="M96" s="5"/>
      <c r="P96" s="5"/>
    </row>
    <row r="97" spans="11:16">
      <c r="K97" s="5"/>
      <c r="M97" s="5"/>
      <c r="P97" s="5"/>
    </row>
    <row r="98" spans="11:16">
      <c r="K98" s="5"/>
      <c r="M98" s="5"/>
      <c r="P98" s="5"/>
    </row>
    <row r="99" spans="11:16">
      <c r="K99" s="5"/>
      <c r="M99" s="5"/>
      <c r="P99" s="5"/>
    </row>
    <row r="100" spans="11:16">
      <c r="K100" s="5"/>
      <c r="M100" s="5"/>
      <c r="P100" s="5"/>
    </row>
    <row r="101" spans="11:16">
      <c r="K101" s="5"/>
      <c r="M101" s="5"/>
      <c r="P101" s="5"/>
    </row>
    <row r="102" spans="11:16">
      <c r="K102" s="5"/>
      <c r="M102" s="5"/>
      <c r="P102" s="5"/>
    </row>
    <row r="103" spans="11:16">
      <c r="K103" s="5"/>
      <c r="M103" s="5"/>
      <c r="P103" s="5"/>
    </row>
    <row r="104" spans="11:16">
      <c r="K104" s="5"/>
      <c r="M104" s="5"/>
      <c r="P104" s="5"/>
    </row>
    <row r="105" spans="11:16">
      <c r="K105" s="5"/>
      <c r="M105" s="5"/>
      <c r="P105" s="5"/>
    </row>
    <row r="106" spans="11:16">
      <c r="K106" s="5"/>
      <c r="M106" s="5"/>
      <c r="P106" s="5"/>
    </row>
    <row r="107" spans="11:16">
      <c r="K107" s="5"/>
      <c r="M107" s="5"/>
      <c r="P107" s="5"/>
    </row>
    <row r="108" spans="11:16">
      <c r="K108" s="5"/>
      <c r="M108" s="5"/>
      <c r="P108" s="5"/>
    </row>
    <row r="109" spans="11:16">
      <c r="K109" s="5"/>
      <c r="M109" s="5"/>
      <c r="P109" s="5"/>
    </row>
    <row r="110" spans="11:16">
      <c r="K110" s="5"/>
      <c r="M110" s="5"/>
      <c r="P110" s="5"/>
    </row>
    <row r="111" spans="11:16">
      <c r="K111" s="5"/>
      <c r="M111" s="5"/>
      <c r="P111" s="5"/>
    </row>
    <row r="112" spans="11:16">
      <c r="K112" s="5"/>
      <c r="M112" s="5"/>
      <c r="P112" s="5"/>
    </row>
    <row r="113" spans="11:16">
      <c r="K113" s="5"/>
      <c r="M113" s="5"/>
      <c r="P113" s="5"/>
    </row>
    <row r="114" spans="11:16">
      <c r="K114" s="5"/>
      <c r="M114" s="5"/>
      <c r="P114" s="5"/>
    </row>
    <row r="115" spans="11:16">
      <c r="K115" s="5"/>
      <c r="M115" s="5"/>
      <c r="P115" s="5"/>
    </row>
    <row r="116" spans="11:16">
      <c r="K116" s="5"/>
      <c r="M116" s="5"/>
      <c r="P116" s="5"/>
    </row>
    <row r="117" spans="11:16">
      <c r="K117" s="5"/>
      <c r="M117" s="5"/>
      <c r="P117" s="5"/>
    </row>
    <row r="118" spans="11:16">
      <c r="K118" s="5"/>
      <c r="M118" s="5"/>
      <c r="P118" s="5"/>
    </row>
    <row r="119" spans="11:16">
      <c r="K119" s="5"/>
      <c r="M119" s="5"/>
      <c r="P119" s="5"/>
    </row>
    <row r="120" spans="11:16">
      <c r="K120" s="5"/>
      <c r="M120" s="5"/>
      <c r="P120" s="5"/>
    </row>
    <row r="121" spans="11:16">
      <c r="K121" s="5"/>
      <c r="M121" s="5"/>
      <c r="P121" s="5"/>
    </row>
    <row r="122" spans="11:16">
      <c r="K122" s="5"/>
      <c r="M122" s="5"/>
      <c r="P122" s="5"/>
    </row>
    <row r="123" spans="11:16">
      <c r="K123" s="5"/>
      <c r="M123" s="5"/>
      <c r="P123" s="5"/>
    </row>
    <row r="124" spans="11:16">
      <c r="K124" s="5"/>
      <c r="M124" s="5"/>
      <c r="P124" s="5"/>
    </row>
    <row r="125" spans="11:16">
      <c r="K125" s="5"/>
      <c r="M125" s="5"/>
      <c r="P125" s="5"/>
    </row>
    <row r="126" spans="11:16">
      <c r="K126" s="5"/>
      <c r="M126" s="5"/>
      <c r="P126" s="5"/>
    </row>
    <row r="127" spans="11:16">
      <c r="K127" s="5"/>
      <c r="M127" s="5"/>
      <c r="P127" s="5"/>
    </row>
    <row r="128" spans="11:16">
      <c r="K128" s="5"/>
      <c r="M128" s="5"/>
      <c r="P128" s="5"/>
    </row>
    <row r="129" spans="11:16">
      <c r="K129" s="5"/>
      <c r="M129" s="5"/>
      <c r="P129" s="5"/>
    </row>
    <row r="130" spans="11:16">
      <c r="K130" s="5"/>
      <c r="M130" s="5"/>
      <c r="P130" s="5"/>
    </row>
    <row r="131" spans="11:16">
      <c r="K131" s="5"/>
      <c r="M131" s="5"/>
      <c r="P131" s="5"/>
    </row>
    <row r="132" spans="11:16">
      <c r="K132" s="5"/>
      <c r="M132" s="5"/>
      <c r="P132" s="5"/>
    </row>
    <row r="133" spans="11:16">
      <c r="K133" s="5"/>
      <c r="M133" s="5"/>
      <c r="P133" s="5"/>
    </row>
    <row r="134" spans="11:16">
      <c r="K134" s="5"/>
      <c r="M134" s="5"/>
      <c r="P134" s="5"/>
    </row>
    <row r="135" spans="11:16">
      <c r="K135" s="5"/>
      <c r="M135" s="5"/>
      <c r="P135" s="5"/>
    </row>
    <row r="136" spans="11:16">
      <c r="K136" s="5"/>
      <c r="M136" s="5"/>
      <c r="P136" s="5"/>
    </row>
    <row r="137" spans="11:16">
      <c r="K137" s="5"/>
      <c r="M137" s="5"/>
      <c r="P137" s="5"/>
    </row>
    <row r="138" spans="11:16">
      <c r="K138" s="5"/>
      <c r="M138" s="5"/>
      <c r="P138" s="5"/>
    </row>
    <row r="139" spans="11:16">
      <c r="K139" s="5"/>
      <c r="M139" s="5"/>
      <c r="P139" s="5"/>
    </row>
    <row r="140" spans="11:16">
      <c r="K140" s="5"/>
      <c r="M140" s="5"/>
      <c r="P140" s="5"/>
    </row>
    <row r="141" spans="11:16">
      <c r="K141" s="5"/>
      <c r="M141" s="5"/>
      <c r="P141" s="5"/>
    </row>
    <row r="142" spans="11:16">
      <c r="K142" s="5"/>
      <c r="M142" s="5"/>
      <c r="P142" s="5"/>
    </row>
    <row r="143" spans="11:16">
      <c r="K143" s="5"/>
      <c r="M143" s="5"/>
      <c r="P143" s="5"/>
    </row>
    <row r="144" spans="11:16">
      <c r="K144" s="5"/>
      <c r="M144" s="5"/>
      <c r="P144" s="5"/>
    </row>
    <row r="145" spans="11:16">
      <c r="K145" s="5"/>
      <c r="M145" s="5"/>
      <c r="P145" s="5"/>
    </row>
    <row r="146" spans="11:16">
      <c r="K146" s="5"/>
      <c r="M146" s="5"/>
      <c r="P146" s="5"/>
    </row>
    <row r="147" spans="11:16">
      <c r="K147" s="5"/>
      <c r="M147" s="5"/>
      <c r="P147" s="5"/>
    </row>
    <row r="148" spans="11:16">
      <c r="K148" s="5"/>
      <c r="M148" s="5"/>
      <c r="P148" s="5"/>
    </row>
    <row r="149" spans="11:16">
      <c r="K149" s="5"/>
      <c r="M149" s="5"/>
      <c r="P149" s="5"/>
    </row>
    <row r="150" spans="11:16">
      <c r="K150" s="5"/>
      <c r="M150" s="5"/>
      <c r="P150" s="5"/>
    </row>
    <row r="151" spans="11:16">
      <c r="K151" s="5"/>
      <c r="M151" s="5"/>
      <c r="P151" s="5"/>
    </row>
    <row r="152" spans="11:16">
      <c r="K152" s="5"/>
      <c r="M152" s="5"/>
      <c r="P152" s="5"/>
    </row>
    <row r="153" spans="11:16">
      <c r="K153" s="5"/>
      <c r="M153" s="5"/>
      <c r="P153" s="5"/>
    </row>
    <row r="154" spans="11:16">
      <c r="K154" s="5"/>
      <c r="M154" s="5"/>
      <c r="P154" s="5"/>
    </row>
    <row r="155" spans="11:16">
      <c r="K155" s="5"/>
      <c r="M155" s="5"/>
      <c r="P155" s="5"/>
    </row>
    <row r="156" spans="11:16">
      <c r="K156" s="5"/>
      <c r="M156" s="5"/>
      <c r="P156" s="5"/>
    </row>
    <row r="157" spans="11:16">
      <c r="K157" s="5"/>
      <c r="M157" s="5"/>
      <c r="P157" s="5"/>
    </row>
    <row r="158" spans="11:16">
      <c r="K158" s="5"/>
      <c r="M158" s="5"/>
      <c r="P158" s="5"/>
    </row>
    <row r="159" spans="11:16">
      <c r="K159" s="5"/>
      <c r="M159" s="5"/>
      <c r="P159" s="5"/>
    </row>
    <row r="160" spans="11:16">
      <c r="K160" s="5"/>
      <c r="M160" s="5"/>
      <c r="P160" s="5"/>
    </row>
    <row r="161" spans="11:16">
      <c r="K161" s="5"/>
      <c r="M161" s="5"/>
      <c r="P161" s="5"/>
    </row>
    <row r="162" spans="11:16">
      <c r="K162" s="5"/>
      <c r="M162" s="5"/>
      <c r="P162" s="5"/>
    </row>
    <row r="163" spans="11:16">
      <c r="K163" s="5"/>
      <c r="M163" s="5"/>
      <c r="P163" s="5"/>
    </row>
    <row r="164" spans="11:16">
      <c r="K164" s="5"/>
      <c r="M164" s="5"/>
      <c r="P164" s="5"/>
    </row>
    <row r="165" spans="11:16">
      <c r="K165" s="5"/>
      <c r="M165" s="5"/>
      <c r="P165" s="5"/>
    </row>
    <row r="166" spans="11:16">
      <c r="K166" s="5"/>
      <c r="M166" s="5"/>
      <c r="P166" s="5"/>
    </row>
    <row r="167" spans="11:16">
      <c r="K167" s="5"/>
      <c r="M167" s="5"/>
      <c r="P167" s="5"/>
    </row>
    <row r="168" spans="11:16">
      <c r="K168" s="5"/>
      <c r="M168" s="5"/>
      <c r="P168" s="5"/>
    </row>
    <row r="169" spans="11:16">
      <c r="K169" s="5"/>
      <c r="M169" s="5"/>
      <c r="P169" s="5"/>
    </row>
    <row r="170" spans="11:16">
      <c r="K170" s="5"/>
      <c r="M170" s="5"/>
      <c r="P170" s="5"/>
    </row>
    <row r="171" spans="11:16">
      <c r="K171" s="5"/>
      <c r="M171" s="5"/>
      <c r="P171" s="5"/>
    </row>
    <row r="172" spans="11:16">
      <c r="K172" s="5"/>
      <c r="M172" s="5"/>
      <c r="P172" s="5"/>
    </row>
    <row r="173" spans="11:16">
      <c r="K173" s="5"/>
      <c r="M173" s="5"/>
      <c r="P173" s="5"/>
    </row>
    <row r="174" spans="11:16">
      <c r="K174" s="5"/>
      <c r="M174" s="5"/>
      <c r="P174" s="5"/>
    </row>
    <row r="175" spans="11:16">
      <c r="K175" s="5"/>
      <c r="M175" s="5"/>
      <c r="P175" s="5"/>
    </row>
    <row r="176" spans="11:16">
      <c r="K176" s="5"/>
      <c r="M176" s="5"/>
      <c r="P176" s="5"/>
    </row>
    <row r="177" spans="11:16">
      <c r="K177" s="5"/>
      <c r="M177" s="5"/>
      <c r="P177" s="5"/>
    </row>
    <row r="178" spans="11:16">
      <c r="K178" s="5"/>
      <c r="M178" s="5"/>
      <c r="P178" s="5"/>
    </row>
    <row r="179" spans="11:16">
      <c r="K179" s="5"/>
      <c r="M179" s="5"/>
      <c r="P179" s="5"/>
    </row>
    <row r="180" spans="11:16">
      <c r="K180" s="5"/>
      <c r="M180" s="5"/>
      <c r="P180" s="5"/>
    </row>
    <row r="181" spans="11:16">
      <c r="K181" s="5"/>
      <c r="M181" s="5"/>
      <c r="P181" s="5"/>
    </row>
    <row r="182" spans="11:16">
      <c r="K182" s="5"/>
      <c r="M182" s="5"/>
      <c r="P182" s="5"/>
    </row>
    <row r="183" spans="11:16">
      <c r="K183" s="5"/>
      <c r="M183" s="5"/>
      <c r="P183" s="5"/>
    </row>
    <row r="184" spans="11:16">
      <c r="K184" s="5"/>
      <c r="M184" s="5"/>
      <c r="P184" s="5"/>
    </row>
    <row r="185" spans="11:16">
      <c r="K185" s="5"/>
      <c r="M185" s="5"/>
      <c r="P185" s="5"/>
    </row>
    <row r="186" spans="11:16">
      <c r="K186" s="5"/>
      <c r="M186" s="5"/>
      <c r="P186" s="5"/>
    </row>
    <row r="187" spans="11:16">
      <c r="K187" s="5"/>
      <c r="M187" s="5"/>
      <c r="P187" s="5"/>
    </row>
    <row r="188" spans="11:16">
      <c r="K188" s="5"/>
      <c r="M188" s="5"/>
      <c r="P188" s="5"/>
    </row>
    <row r="189" spans="11:16">
      <c r="K189" s="5"/>
      <c r="M189" s="5"/>
      <c r="P189" s="5"/>
    </row>
    <row r="190" spans="11:16">
      <c r="K190" s="5"/>
      <c r="M190" s="5"/>
      <c r="P190" s="5"/>
    </row>
    <row r="191" spans="11:16">
      <c r="K191" s="5"/>
      <c r="M191" s="5"/>
      <c r="P191" s="5"/>
    </row>
    <row r="192" spans="11:16">
      <c r="K192" s="5"/>
      <c r="M192" s="5"/>
      <c r="P192" s="5"/>
    </row>
    <row r="193" spans="11:16">
      <c r="K193" s="5"/>
      <c r="M193" s="5"/>
      <c r="P193" s="5"/>
    </row>
    <row r="194" spans="11:16">
      <c r="K194" s="5"/>
      <c r="M194" s="5"/>
      <c r="P194" s="5"/>
    </row>
    <row r="195" spans="11:16">
      <c r="K195" s="5"/>
      <c r="M195" s="5"/>
      <c r="P195" s="5"/>
    </row>
    <row r="196" spans="11:16">
      <c r="K196" s="5"/>
      <c r="M196" s="5"/>
      <c r="P196" s="5"/>
    </row>
    <row r="197" spans="11:16">
      <c r="K197" s="5"/>
      <c r="M197" s="5"/>
      <c r="P197" s="5"/>
    </row>
    <row r="198" spans="11:16">
      <c r="K198" s="5"/>
      <c r="M198" s="5"/>
      <c r="P198" s="5"/>
    </row>
    <row r="199" spans="11:16">
      <c r="K199" s="5"/>
      <c r="M199" s="5"/>
      <c r="P199" s="5"/>
    </row>
    <row r="200" spans="11:16">
      <c r="K200" s="5"/>
      <c r="M200" s="5"/>
      <c r="P200" s="5"/>
    </row>
    <row r="201" spans="11:16">
      <c r="K201" s="5"/>
      <c r="M201" s="5"/>
      <c r="P201" s="5"/>
    </row>
    <row r="202" spans="11:16">
      <c r="K202" s="5"/>
      <c r="M202" s="5"/>
      <c r="P202" s="5"/>
    </row>
    <row r="203" spans="11:16">
      <c r="K203" s="5"/>
      <c r="M203" s="5"/>
      <c r="P203" s="5"/>
    </row>
    <row r="204" spans="11:16">
      <c r="K204" s="5"/>
      <c r="M204" s="5"/>
      <c r="P204" s="5"/>
    </row>
    <row r="205" spans="11:16">
      <c r="K205" s="5"/>
      <c r="M205" s="5"/>
      <c r="P205" s="5"/>
    </row>
    <row r="206" spans="11:16">
      <c r="K206" s="5"/>
      <c r="M206" s="5"/>
      <c r="P206" s="5"/>
    </row>
    <row r="207" spans="11:16">
      <c r="K207" s="5"/>
      <c r="M207" s="5"/>
      <c r="P207" s="5"/>
    </row>
    <row r="208" spans="11:16">
      <c r="K208" s="5"/>
      <c r="M208" s="5"/>
      <c r="P208" s="5"/>
    </row>
    <row r="209" spans="11:16">
      <c r="K209" s="5"/>
      <c r="M209" s="5"/>
      <c r="P209" s="5"/>
    </row>
    <row r="210" spans="11:16">
      <c r="K210" s="5"/>
      <c r="M210" s="5"/>
      <c r="P210" s="5"/>
    </row>
    <row r="211" spans="11:16">
      <c r="K211" s="5"/>
      <c r="M211" s="5"/>
      <c r="P211" s="5"/>
    </row>
    <row r="212" spans="11:16">
      <c r="K212" s="5"/>
      <c r="M212" s="5"/>
      <c r="P212" s="5"/>
    </row>
    <row r="213" spans="11:16">
      <c r="K213" s="5"/>
      <c r="M213" s="5"/>
      <c r="P213" s="5"/>
    </row>
    <row r="214" spans="11:16">
      <c r="K214" s="5"/>
      <c r="M214" s="5"/>
      <c r="P214" s="5"/>
    </row>
    <row r="215" spans="11:16">
      <c r="K215" s="5"/>
      <c r="M215" s="5"/>
      <c r="P215" s="5"/>
    </row>
    <row r="216" spans="11:16">
      <c r="K216" s="5"/>
      <c r="M216" s="5"/>
      <c r="P216" s="5"/>
    </row>
    <row r="217" spans="11:16">
      <c r="K217" s="5"/>
      <c r="M217" s="5"/>
      <c r="P217" s="5"/>
    </row>
    <row r="218" spans="11:16">
      <c r="K218" s="5"/>
      <c r="M218" s="5"/>
      <c r="P218" s="5"/>
    </row>
    <row r="219" spans="11:16">
      <c r="K219" s="5"/>
      <c r="M219" s="5"/>
      <c r="P219" s="5"/>
    </row>
    <row r="220" spans="11:16">
      <c r="K220" s="5"/>
      <c r="M220" s="5"/>
      <c r="P220" s="5"/>
    </row>
    <row r="221" spans="11:16">
      <c r="K221" s="5"/>
      <c r="M221" s="5"/>
      <c r="P221" s="5"/>
    </row>
    <row r="222" spans="11:16">
      <c r="K222" s="5"/>
      <c r="M222" s="5"/>
      <c r="P222" s="5"/>
    </row>
    <row r="223" spans="11:16">
      <c r="K223" s="5"/>
      <c r="M223" s="5"/>
      <c r="P223" s="5"/>
    </row>
    <row r="224" spans="11:16">
      <c r="K224" s="5"/>
      <c r="M224" s="5"/>
      <c r="P224" s="5"/>
    </row>
    <row r="225" spans="11:16">
      <c r="K225" s="5"/>
      <c r="M225" s="5"/>
      <c r="P225" s="5"/>
    </row>
    <row r="226" spans="11:16">
      <c r="K226" s="5"/>
      <c r="M226" s="5"/>
      <c r="P226" s="5"/>
    </row>
    <row r="227" spans="11:16">
      <c r="K227" s="5"/>
      <c r="M227" s="5"/>
      <c r="P227" s="5"/>
    </row>
    <row r="228" spans="11:16">
      <c r="K228" s="5"/>
      <c r="M228" s="5"/>
      <c r="P228" s="5"/>
    </row>
    <row r="229" spans="11:16">
      <c r="K229" s="5"/>
      <c r="M229" s="5"/>
      <c r="P229" s="5"/>
    </row>
    <row r="230" spans="11:16">
      <c r="K230" s="5"/>
      <c r="M230" s="5"/>
      <c r="P230" s="5"/>
    </row>
    <row r="231" spans="11:16">
      <c r="K231" s="5"/>
      <c r="M231" s="5"/>
      <c r="P231" s="5"/>
    </row>
    <row r="232" spans="11:16">
      <c r="K232" s="5"/>
      <c r="M232" s="5"/>
      <c r="P232" s="5"/>
    </row>
    <row r="233" spans="11:16">
      <c r="K233" s="5"/>
      <c r="M233" s="5"/>
      <c r="P233" s="5"/>
    </row>
    <row r="234" spans="11:16">
      <c r="K234" s="5"/>
      <c r="M234" s="5"/>
      <c r="P234" s="5"/>
    </row>
    <row r="235" spans="11:16">
      <c r="K235" s="5"/>
      <c r="M235" s="5"/>
      <c r="P235" s="5"/>
    </row>
    <row r="236" spans="11:16">
      <c r="K236" s="5"/>
      <c r="M236" s="5"/>
      <c r="P236" s="5"/>
    </row>
    <row r="237" spans="11:16">
      <c r="K237" s="5"/>
      <c r="M237" s="5"/>
      <c r="P237" s="5"/>
    </row>
    <row r="238" spans="11:16">
      <c r="K238" s="5"/>
      <c r="M238" s="5"/>
      <c r="P238" s="5"/>
    </row>
    <row r="239" spans="11:16">
      <c r="K239" s="5"/>
      <c r="M239" s="5"/>
      <c r="P239" s="5"/>
    </row>
    <row r="240" spans="11:16">
      <c r="K240" s="5"/>
      <c r="M240" s="5"/>
      <c r="P240" s="5"/>
    </row>
    <row r="241" spans="11:16">
      <c r="K241" s="5"/>
      <c r="M241" s="5"/>
      <c r="P241" s="5"/>
    </row>
    <row r="242" spans="11:16">
      <c r="K242" s="5"/>
      <c r="M242" s="5"/>
      <c r="P242" s="5"/>
    </row>
    <row r="243" spans="11:16">
      <c r="K243" s="5"/>
      <c r="M243" s="5"/>
      <c r="P243" s="5"/>
    </row>
    <row r="244" spans="11:16">
      <c r="K244" s="5"/>
      <c r="M244" s="5"/>
      <c r="P244" s="5"/>
    </row>
    <row r="245" spans="11:16">
      <c r="K245" s="5"/>
      <c r="M245" s="5"/>
      <c r="P245" s="5"/>
    </row>
    <row r="246" spans="11:16">
      <c r="K246" s="5"/>
      <c r="M246" s="5"/>
      <c r="P246" s="5"/>
    </row>
    <row r="247" spans="11:16">
      <c r="K247" s="5"/>
      <c r="M247" s="5"/>
      <c r="P247" s="5"/>
    </row>
    <row r="248" spans="11:16">
      <c r="K248" s="5"/>
      <c r="M248" s="5"/>
      <c r="P248" s="5"/>
    </row>
    <row r="249" spans="11:16">
      <c r="K249" s="5"/>
      <c r="M249" s="5"/>
      <c r="P249" s="5"/>
    </row>
    <row r="250" spans="11:16">
      <c r="K250" s="5"/>
      <c r="M250" s="5"/>
      <c r="P250" s="5"/>
    </row>
    <row r="251" spans="11:16">
      <c r="K251" s="5"/>
      <c r="M251" s="5"/>
      <c r="P251" s="5"/>
    </row>
    <row r="252" spans="11:16">
      <c r="K252" s="5"/>
      <c r="M252" s="5"/>
      <c r="P252" s="5"/>
    </row>
    <row r="253" spans="11:16">
      <c r="K253" s="5"/>
      <c r="M253" s="5"/>
      <c r="P253" s="5"/>
    </row>
    <row r="254" spans="11:16">
      <c r="K254" s="5"/>
      <c r="M254" s="5"/>
      <c r="P254" s="5"/>
    </row>
    <row r="255" spans="11:16">
      <c r="K255" s="5"/>
      <c r="M255" s="5"/>
      <c r="P255" s="5"/>
    </row>
    <row r="256" spans="11:16">
      <c r="K256" s="5"/>
      <c r="M256" s="5"/>
      <c r="P256" s="5"/>
    </row>
    <row r="257" spans="11:16">
      <c r="K257" s="5"/>
      <c r="M257" s="5"/>
      <c r="P257" s="5"/>
    </row>
    <row r="258" spans="11:16">
      <c r="K258" s="5"/>
      <c r="M258" s="5"/>
      <c r="P258" s="5"/>
    </row>
    <row r="259" spans="11:16">
      <c r="K259" s="5"/>
      <c r="M259" s="5"/>
      <c r="P259" s="5"/>
    </row>
    <row r="260" spans="11:16">
      <c r="K260" s="5"/>
      <c r="M260" s="5"/>
      <c r="P260" s="5"/>
    </row>
    <row r="261" spans="11:16">
      <c r="K261" s="5"/>
      <c r="M261" s="5"/>
      <c r="P261" s="5"/>
    </row>
    <row r="262" spans="11:16">
      <c r="K262" s="5"/>
      <c r="M262" s="5"/>
      <c r="P262" s="5"/>
    </row>
    <row r="263" spans="11:16">
      <c r="K263" s="5"/>
      <c r="M263" s="5"/>
      <c r="P263" s="5"/>
    </row>
    <row r="264" spans="11:16">
      <c r="K264" s="5"/>
      <c r="M264" s="5"/>
      <c r="P264" s="5"/>
    </row>
    <row r="265" spans="11:16">
      <c r="K265" s="5"/>
      <c r="M265" s="5"/>
      <c r="P265" s="5"/>
    </row>
    <row r="266" spans="11:16">
      <c r="K266" s="5"/>
      <c r="M266" s="5"/>
      <c r="P266" s="5"/>
    </row>
    <row r="267" spans="11:16">
      <c r="K267" s="5"/>
      <c r="M267" s="5"/>
      <c r="P267" s="5"/>
    </row>
    <row r="268" spans="11:16">
      <c r="K268" s="5"/>
      <c r="M268" s="5"/>
      <c r="P268" s="5"/>
    </row>
    <row r="269" spans="11:16">
      <c r="K269" s="5"/>
      <c r="M269" s="5"/>
      <c r="P269" s="5"/>
    </row>
    <row r="270" spans="11:16">
      <c r="K270" s="5"/>
      <c r="M270" s="5"/>
      <c r="P270" s="5"/>
    </row>
    <row r="271" spans="11:16">
      <c r="K271" s="5"/>
      <c r="M271" s="5"/>
      <c r="P271" s="5"/>
    </row>
    <row r="272" spans="11:16">
      <c r="K272" s="5"/>
      <c r="M272" s="5"/>
      <c r="P272" s="5"/>
    </row>
    <row r="273" spans="11:16">
      <c r="K273" s="5"/>
      <c r="M273" s="5"/>
      <c r="P273" s="5"/>
    </row>
    <row r="274" spans="11:16">
      <c r="K274" s="5"/>
      <c r="M274" s="5"/>
      <c r="P274" s="5"/>
    </row>
    <row r="275" spans="11:16">
      <c r="K275" s="5"/>
      <c r="M275" s="5"/>
      <c r="P275" s="5"/>
    </row>
    <row r="276" spans="11:16">
      <c r="K276" s="5"/>
      <c r="M276" s="5"/>
      <c r="P276" s="5"/>
    </row>
    <row r="277" spans="11:16">
      <c r="K277" s="5"/>
      <c r="M277" s="5"/>
      <c r="P277" s="5"/>
    </row>
    <row r="278" spans="11:16">
      <c r="K278" s="5"/>
      <c r="M278" s="5"/>
      <c r="P278" s="5"/>
    </row>
    <row r="279" spans="11:16">
      <c r="K279" s="5"/>
      <c r="M279" s="5"/>
      <c r="P279" s="5"/>
    </row>
    <row r="280" spans="11:16">
      <c r="K280" s="5"/>
      <c r="M280" s="5"/>
      <c r="P280" s="5"/>
    </row>
    <row r="281" spans="11:16">
      <c r="K281" s="5"/>
      <c r="M281" s="5"/>
      <c r="P281" s="5"/>
    </row>
    <row r="282" spans="11:16">
      <c r="K282" s="5"/>
      <c r="M282" s="5"/>
      <c r="P282" s="5"/>
    </row>
    <row r="283" spans="11:16">
      <c r="K283" s="5"/>
      <c r="M283" s="5"/>
      <c r="P283" s="5"/>
    </row>
    <row r="284" spans="11:16">
      <c r="K284" s="5"/>
      <c r="M284" s="5"/>
      <c r="P284" s="5"/>
    </row>
    <row r="285" spans="11:16">
      <c r="K285" s="5"/>
      <c r="M285" s="5"/>
      <c r="P285" s="5"/>
    </row>
    <row r="286" spans="11:16">
      <c r="K286" s="5"/>
      <c r="M286" s="5"/>
      <c r="P286" s="5"/>
    </row>
    <row r="287" spans="11:16">
      <c r="K287" s="5"/>
      <c r="M287" s="5"/>
      <c r="P287" s="5"/>
    </row>
    <row r="288" spans="11:16">
      <c r="K288" s="5"/>
      <c r="M288" s="5"/>
      <c r="P288" s="5"/>
    </row>
    <row r="289" spans="11:16">
      <c r="K289" s="5"/>
      <c r="M289" s="5"/>
      <c r="P289" s="5"/>
    </row>
    <row r="290" spans="11:16">
      <c r="K290" s="5"/>
      <c r="M290" s="5"/>
      <c r="P290" s="5"/>
    </row>
    <row r="291" spans="11:16">
      <c r="K291" s="5"/>
      <c r="M291" s="5"/>
      <c r="P291" s="5"/>
    </row>
    <row r="292" spans="11:16">
      <c r="K292" s="5"/>
      <c r="M292" s="5"/>
      <c r="P292" s="5"/>
    </row>
    <row r="293" spans="11:16">
      <c r="K293" s="5"/>
      <c r="M293" s="5"/>
      <c r="P293" s="5"/>
    </row>
    <row r="294" spans="11:16">
      <c r="K294" s="5"/>
      <c r="M294" s="5"/>
      <c r="P294" s="5"/>
    </row>
    <row r="295" spans="11:16">
      <c r="K295" s="5"/>
      <c r="M295" s="5"/>
      <c r="P295" s="5"/>
    </row>
    <row r="296" spans="11:16">
      <c r="K296" s="5"/>
      <c r="M296" s="5"/>
      <c r="P296" s="5"/>
    </row>
    <row r="297" spans="11:16">
      <c r="K297" s="5"/>
      <c r="M297" s="5"/>
      <c r="P297" s="5"/>
    </row>
    <row r="298" spans="11:16">
      <c r="K298" s="5"/>
      <c r="M298" s="5"/>
      <c r="P298" s="5"/>
    </row>
    <row r="299" spans="11:16">
      <c r="K299" s="5"/>
      <c r="M299" s="5"/>
      <c r="P299" s="5"/>
    </row>
    <row r="300" spans="11:16">
      <c r="K300" s="5"/>
      <c r="M300" s="5"/>
      <c r="P300" s="5"/>
    </row>
    <row r="301" spans="11:16">
      <c r="K301" s="5"/>
      <c r="M301" s="5"/>
      <c r="P301" s="5"/>
    </row>
    <row r="302" spans="11:16">
      <c r="K302" s="5"/>
      <c r="M302" s="5"/>
      <c r="P302" s="5"/>
    </row>
    <row r="303" spans="11:16">
      <c r="K303" s="5"/>
      <c r="M303" s="5"/>
      <c r="P303" s="5"/>
    </row>
    <row r="304" spans="11:16">
      <c r="K304" s="5"/>
      <c r="M304" s="5"/>
      <c r="P304" s="5"/>
    </row>
    <row r="305" spans="11:16">
      <c r="K305" s="5"/>
      <c r="M305" s="5"/>
      <c r="P305" s="5"/>
    </row>
    <row r="306" spans="11:16">
      <c r="K306" s="5"/>
      <c r="M306" s="5"/>
      <c r="P306" s="5"/>
    </row>
    <row r="307" spans="11:16">
      <c r="K307" s="5"/>
      <c r="M307" s="5"/>
      <c r="P307" s="5"/>
    </row>
    <row r="308" spans="11:16">
      <c r="K308" s="5"/>
      <c r="M308" s="5"/>
      <c r="P308" s="5"/>
    </row>
    <row r="309" spans="11:16">
      <c r="K309" s="5"/>
      <c r="M309" s="5"/>
      <c r="P309" s="5"/>
    </row>
    <row r="310" spans="11:16">
      <c r="K310" s="5"/>
      <c r="M310" s="5"/>
      <c r="P310" s="5"/>
    </row>
    <row r="311" spans="11:16">
      <c r="K311" s="5"/>
      <c r="M311" s="5"/>
      <c r="P311" s="5"/>
    </row>
    <row r="312" spans="11:16">
      <c r="K312" s="5"/>
      <c r="M312" s="5"/>
      <c r="P312" s="5"/>
    </row>
    <row r="313" spans="11:16">
      <c r="K313" s="5"/>
      <c r="M313" s="5"/>
      <c r="P313" s="5"/>
    </row>
    <row r="314" spans="11:16">
      <c r="K314" s="5"/>
      <c r="M314" s="5"/>
      <c r="P314" s="5"/>
    </row>
    <row r="315" spans="11:16">
      <c r="K315" s="5"/>
      <c r="M315" s="5"/>
      <c r="P315" s="5"/>
    </row>
    <row r="316" spans="11:16">
      <c r="K316" s="5"/>
      <c r="M316" s="5"/>
      <c r="P316" s="5"/>
    </row>
    <row r="317" spans="11:16">
      <c r="K317" s="5"/>
      <c r="M317" s="5"/>
      <c r="P317" s="5"/>
    </row>
    <row r="318" spans="11:16">
      <c r="K318" s="5"/>
      <c r="M318" s="5"/>
      <c r="P318" s="5"/>
    </row>
    <row r="319" spans="11:16">
      <c r="K319" s="5"/>
      <c r="M319" s="5"/>
      <c r="P319" s="5"/>
    </row>
    <row r="320" spans="11:16">
      <c r="K320" s="5"/>
      <c r="M320" s="5"/>
      <c r="P320" s="5"/>
    </row>
    <row r="321" spans="11:16">
      <c r="K321" s="5"/>
      <c r="M321" s="5"/>
      <c r="P321" s="5"/>
    </row>
    <row r="322" spans="11:16">
      <c r="K322" s="5"/>
      <c r="M322" s="5"/>
      <c r="P322" s="5"/>
    </row>
    <row r="323" spans="11:16">
      <c r="K323" s="5"/>
      <c r="M323" s="5"/>
      <c r="P323" s="5"/>
    </row>
    <row r="324" spans="11:16">
      <c r="K324" s="5"/>
      <c r="M324" s="5"/>
      <c r="P324" s="5"/>
    </row>
    <row r="325" spans="11:16">
      <c r="K325" s="5"/>
      <c r="M325" s="5"/>
      <c r="P325" s="5"/>
    </row>
    <row r="326" spans="11:16">
      <c r="K326" s="5"/>
      <c r="M326" s="5"/>
      <c r="P326" s="5"/>
    </row>
    <row r="327" spans="11:16">
      <c r="K327" s="5"/>
      <c r="M327" s="5"/>
      <c r="P327" s="5"/>
    </row>
    <row r="328" spans="11:16">
      <c r="K328" s="5"/>
      <c r="M328" s="5"/>
      <c r="P328" s="5"/>
    </row>
    <row r="329" spans="11:16">
      <c r="K329" s="5"/>
      <c r="M329" s="5"/>
      <c r="P329" s="5"/>
    </row>
    <row r="330" spans="11:16">
      <c r="K330" s="5"/>
      <c r="M330" s="5"/>
      <c r="P330" s="5"/>
    </row>
    <row r="331" spans="11:16">
      <c r="K331" s="5"/>
      <c r="M331" s="5"/>
      <c r="P331" s="5"/>
    </row>
    <row r="332" spans="11:16">
      <c r="K332" s="5"/>
      <c r="M332" s="5"/>
      <c r="P332" s="5"/>
    </row>
    <row r="333" spans="11:16">
      <c r="K333" s="5"/>
      <c r="M333" s="5"/>
      <c r="P333" s="5"/>
    </row>
    <row r="334" spans="11:16">
      <c r="K334" s="5"/>
      <c r="M334" s="5"/>
      <c r="P334" s="5"/>
    </row>
    <row r="335" spans="11:16">
      <c r="K335" s="5"/>
      <c r="M335" s="5"/>
      <c r="P335" s="5"/>
    </row>
    <row r="336" spans="11:16">
      <c r="K336" s="5"/>
      <c r="M336" s="5"/>
      <c r="P336" s="5"/>
    </row>
    <row r="337" spans="11:16">
      <c r="K337" s="5"/>
      <c r="M337" s="5"/>
      <c r="P337" s="5"/>
    </row>
    <row r="338" spans="11:16">
      <c r="K338" s="5"/>
      <c r="M338" s="5"/>
      <c r="P338" s="5"/>
    </row>
    <row r="339" spans="11:16">
      <c r="K339" s="5"/>
      <c r="M339" s="5"/>
      <c r="P339" s="5"/>
    </row>
    <row r="340" spans="11:16">
      <c r="K340" s="5"/>
      <c r="M340" s="5"/>
      <c r="P340" s="5"/>
    </row>
    <row r="341" spans="11:16">
      <c r="K341" s="5"/>
      <c r="M341" s="5"/>
      <c r="P341" s="5"/>
    </row>
    <row r="342" spans="11:16">
      <c r="K342" s="5"/>
      <c r="M342" s="5"/>
      <c r="P342" s="5"/>
    </row>
    <row r="343" spans="11:16">
      <c r="K343" s="5"/>
      <c r="M343" s="5"/>
      <c r="P343" s="5"/>
    </row>
    <row r="344" spans="11:16">
      <c r="K344" s="5"/>
      <c r="M344" s="5"/>
      <c r="P344" s="5"/>
    </row>
    <row r="345" spans="11:16">
      <c r="K345" s="5"/>
      <c r="M345" s="5"/>
      <c r="P345" s="5"/>
    </row>
    <row r="346" spans="11:16">
      <c r="K346" s="5"/>
      <c r="M346" s="5"/>
      <c r="P346" s="5"/>
    </row>
    <row r="347" spans="11:16">
      <c r="K347" s="5"/>
      <c r="M347" s="5"/>
      <c r="P347" s="5"/>
    </row>
    <row r="348" spans="11:16">
      <c r="K348" s="5"/>
      <c r="M348" s="5"/>
      <c r="P348" s="5"/>
    </row>
    <row r="349" spans="11:16">
      <c r="K349" s="5"/>
      <c r="M349" s="5"/>
      <c r="P349" s="5"/>
    </row>
    <row r="350" spans="11:16">
      <c r="K350" s="5"/>
      <c r="M350" s="5"/>
      <c r="P350" s="5"/>
    </row>
    <row r="351" spans="11:16">
      <c r="K351" s="5"/>
      <c r="M351" s="5"/>
      <c r="P351" s="5"/>
    </row>
    <row r="352" spans="11:16">
      <c r="K352" s="5"/>
      <c r="M352" s="5"/>
      <c r="P352" s="5"/>
    </row>
    <row r="353" spans="11:16">
      <c r="K353" s="5"/>
      <c r="M353" s="5"/>
      <c r="P353" s="5"/>
    </row>
    <row r="354" spans="11:16">
      <c r="K354" s="5"/>
      <c r="M354" s="5"/>
      <c r="P354" s="5"/>
    </row>
    <row r="355" spans="11:16">
      <c r="K355" s="5"/>
      <c r="M355" s="5"/>
      <c r="P355" s="5"/>
    </row>
    <row r="356" spans="11:16">
      <c r="K356" s="5"/>
      <c r="M356" s="5"/>
      <c r="P356" s="5"/>
    </row>
    <row r="357" spans="11:16">
      <c r="K357" s="5"/>
      <c r="M357" s="5"/>
      <c r="P357" s="5"/>
    </row>
    <row r="358" spans="11:16">
      <c r="K358" s="5"/>
      <c r="M358" s="5"/>
      <c r="P358" s="5"/>
    </row>
    <row r="359" spans="11:16">
      <c r="K359" s="5"/>
      <c r="M359" s="5"/>
      <c r="P359" s="5"/>
    </row>
    <row r="360" spans="11:16">
      <c r="K360" s="5"/>
      <c r="M360" s="5"/>
      <c r="P360" s="5"/>
    </row>
    <row r="361" spans="11:16">
      <c r="K361" s="5"/>
      <c r="M361" s="5"/>
      <c r="P361" s="5"/>
    </row>
    <row r="362" spans="11:16">
      <c r="K362" s="5"/>
      <c r="M362" s="5"/>
      <c r="P362" s="5"/>
    </row>
    <row r="363" spans="11:16">
      <c r="K363" s="5"/>
      <c r="M363" s="5"/>
      <c r="P363" s="5"/>
    </row>
    <row r="364" spans="11:16">
      <c r="K364" s="5"/>
      <c r="M364" s="5"/>
      <c r="P364" s="5"/>
    </row>
    <row r="365" spans="11:16">
      <c r="K365" s="5"/>
      <c r="M365" s="5"/>
      <c r="P365" s="5"/>
    </row>
    <row r="366" spans="11:16">
      <c r="K366" s="5"/>
      <c r="M366" s="5"/>
      <c r="P366" s="5"/>
    </row>
    <row r="367" spans="11:16">
      <c r="K367" s="5"/>
      <c r="M367" s="5"/>
      <c r="P367" s="5"/>
    </row>
    <row r="368" spans="11:16">
      <c r="K368" s="5"/>
      <c r="M368" s="5"/>
      <c r="P368" s="5"/>
    </row>
    <row r="369" spans="11:16">
      <c r="K369" s="5"/>
      <c r="M369" s="5"/>
      <c r="P369" s="5"/>
    </row>
    <row r="370" spans="11:16">
      <c r="K370" s="5"/>
      <c r="M370" s="5"/>
      <c r="P370" s="5"/>
    </row>
    <row r="371" spans="11:16">
      <c r="K371" s="5"/>
      <c r="M371" s="5"/>
      <c r="P371" s="5"/>
    </row>
    <row r="372" spans="11:16">
      <c r="K372" s="5"/>
      <c r="M372" s="5"/>
      <c r="P372" s="5"/>
    </row>
    <row r="373" spans="11:16">
      <c r="K373" s="5"/>
      <c r="M373" s="5"/>
      <c r="P373" s="5"/>
    </row>
    <row r="374" spans="11:16">
      <c r="K374" s="5"/>
      <c r="M374" s="5"/>
      <c r="P374" s="5"/>
    </row>
    <row r="375" spans="11:16">
      <c r="K375" s="5"/>
      <c r="M375" s="5"/>
      <c r="P375" s="5"/>
    </row>
    <row r="376" spans="11:16">
      <c r="K376" s="5"/>
      <c r="M376" s="5"/>
      <c r="P376" s="5"/>
    </row>
    <row r="377" spans="11:16">
      <c r="K377" s="5"/>
      <c r="M377" s="5"/>
      <c r="P377" s="5"/>
    </row>
    <row r="378" spans="11:16">
      <c r="K378" s="5"/>
      <c r="M378" s="5"/>
      <c r="P378" s="5"/>
    </row>
    <row r="379" spans="11:16">
      <c r="K379" s="5"/>
      <c r="M379" s="5"/>
      <c r="P379" s="5"/>
    </row>
    <row r="380" spans="11:16">
      <c r="K380" s="5"/>
      <c r="M380" s="5"/>
      <c r="P380" s="5"/>
    </row>
    <row r="381" spans="11:16">
      <c r="K381" s="5"/>
      <c r="M381" s="5"/>
      <c r="P381" s="5"/>
    </row>
    <row r="382" spans="11:16">
      <c r="K382" s="5"/>
      <c r="M382" s="5"/>
      <c r="P382" s="5"/>
    </row>
    <row r="383" spans="11:16">
      <c r="K383" s="5"/>
      <c r="M383" s="5"/>
      <c r="P383" s="5"/>
    </row>
    <row r="384" spans="11:16">
      <c r="K384" s="5"/>
      <c r="M384" s="5"/>
      <c r="P384" s="5"/>
    </row>
    <row r="385" spans="11:16">
      <c r="K385" s="5"/>
      <c r="M385" s="5"/>
      <c r="P385" s="5"/>
    </row>
    <row r="386" spans="11:16">
      <c r="K386" s="5"/>
      <c r="M386" s="5"/>
      <c r="P386" s="5"/>
    </row>
    <row r="387" spans="11:16">
      <c r="K387" s="5"/>
      <c r="M387" s="5"/>
      <c r="P387" s="5"/>
    </row>
    <row r="388" spans="11:16">
      <c r="K388" s="5"/>
      <c r="M388" s="5"/>
      <c r="P388" s="5"/>
    </row>
    <row r="389" spans="11:16">
      <c r="K389" s="5"/>
      <c r="M389" s="5"/>
      <c r="P389" s="5"/>
    </row>
    <row r="390" spans="11:16">
      <c r="K390" s="5"/>
      <c r="M390" s="5"/>
      <c r="P390" s="5"/>
    </row>
    <row r="391" spans="11:16">
      <c r="K391" s="5"/>
      <c r="M391" s="5"/>
      <c r="P391" s="5"/>
    </row>
    <row r="392" spans="11:16">
      <c r="K392" s="5"/>
      <c r="M392" s="5"/>
      <c r="P392" s="5"/>
    </row>
    <row r="393" spans="11:16">
      <c r="K393" s="5"/>
      <c r="M393" s="5"/>
      <c r="P393" s="5"/>
    </row>
    <row r="394" spans="11:16">
      <c r="K394" s="5"/>
      <c r="M394" s="5"/>
      <c r="P394" s="5"/>
    </row>
    <row r="395" spans="11:16">
      <c r="K395" s="5"/>
      <c r="M395" s="5"/>
      <c r="P395" s="5"/>
    </row>
    <row r="396" spans="11:16">
      <c r="K396" s="5"/>
      <c r="M396" s="5"/>
      <c r="P396" s="5"/>
    </row>
    <row r="397" spans="11:16">
      <c r="K397" s="5"/>
      <c r="M397" s="5"/>
      <c r="P397" s="5"/>
    </row>
    <row r="398" spans="11:16">
      <c r="K398" s="5"/>
      <c r="M398" s="5"/>
      <c r="P398" s="5"/>
    </row>
    <row r="399" spans="11:16">
      <c r="K399" s="5"/>
      <c r="M399" s="5"/>
      <c r="P399" s="5"/>
    </row>
    <row r="400" spans="11:16">
      <c r="K400" s="5"/>
      <c r="M400" s="5"/>
      <c r="P400" s="5"/>
    </row>
    <row r="401" spans="11:16">
      <c r="K401" s="5"/>
      <c r="M401" s="5"/>
      <c r="P401" s="5"/>
    </row>
    <row r="402" spans="11:16">
      <c r="K402" s="5"/>
      <c r="M402" s="5"/>
      <c r="P402" s="5"/>
    </row>
    <row r="403" spans="11:16">
      <c r="K403" s="5"/>
      <c r="M403" s="5"/>
      <c r="P403" s="5"/>
    </row>
    <row r="404" spans="11:16">
      <c r="K404" s="5"/>
      <c r="M404" s="5"/>
      <c r="P404" s="5"/>
    </row>
    <row r="405" spans="11:16">
      <c r="K405" s="5"/>
      <c r="M405" s="5"/>
      <c r="P405" s="5"/>
    </row>
    <row r="406" spans="11:16">
      <c r="K406" s="5"/>
      <c r="M406" s="5"/>
      <c r="P406" s="5"/>
    </row>
    <row r="407" spans="11:16">
      <c r="K407" s="5"/>
      <c r="M407" s="5"/>
      <c r="P407" s="5"/>
    </row>
    <row r="408" spans="11:16">
      <c r="K408" s="5"/>
      <c r="M408" s="5"/>
      <c r="P408" s="5"/>
    </row>
    <row r="409" spans="11:16">
      <c r="K409" s="5"/>
      <c r="M409" s="5"/>
      <c r="P409" s="5"/>
    </row>
    <row r="410" spans="11:16">
      <c r="K410" s="5"/>
      <c r="M410" s="5"/>
      <c r="P410" s="5"/>
    </row>
    <row r="411" spans="11:16">
      <c r="K411" s="5"/>
      <c r="M411" s="5"/>
      <c r="P411" s="5"/>
    </row>
    <row r="412" spans="11:16">
      <c r="K412" s="5"/>
      <c r="M412" s="5"/>
      <c r="P412" s="5"/>
    </row>
    <row r="413" spans="11:16">
      <c r="K413" s="5"/>
      <c r="M413" s="5"/>
      <c r="P413" s="5"/>
    </row>
    <row r="414" spans="11:16">
      <c r="K414" s="5"/>
      <c r="M414" s="5"/>
      <c r="P414" s="5"/>
    </row>
    <row r="415" spans="11:16">
      <c r="K415" s="5"/>
      <c r="M415" s="5"/>
      <c r="P415" s="5"/>
    </row>
    <row r="416" spans="11:16">
      <c r="K416" s="5"/>
      <c r="M416" s="5"/>
      <c r="P416" s="5"/>
    </row>
    <row r="417" spans="11:16">
      <c r="K417" s="5"/>
      <c r="M417" s="5"/>
      <c r="P417" s="5"/>
    </row>
    <row r="418" spans="11:16">
      <c r="K418" s="5"/>
      <c r="M418" s="5"/>
      <c r="P418" s="5"/>
    </row>
    <row r="419" spans="11:16">
      <c r="K419" s="5"/>
      <c r="M419" s="5"/>
      <c r="P419" s="5"/>
    </row>
    <row r="420" spans="11:16">
      <c r="K420" s="5"/>
      <c r="M420" s="5"/>
      <c r="P420" s="5"/>
    </row>
    <row r="421" spans="11:16">
      <c r="K421" s="5"/>
      <c r="M421" s="5"/>
      <c r="P421" s="5"/>
    </row>
    <row r="422" spans="11:16">
      <c r="K422" s="5"/>
      <c r="M422" s="5"/>
      <c r="P422" s="5"/>
    </row>
    <row r="423" spans="11:16">
      <c r="K423" s="5"/>
      <c r="M423" s="5"/>
      <c r="P423" s="5"/>
    </row>
    <row r="424" spans="11:16">
      <c r="K424" s="5"/>
      <c r="M424" s="5"/>
      <c r="P424" s="5"/>
    </row>
    <row r="425" spans="11:16">
      <c r="K425" s="5"/>
      <c r="M425" s="5"/>
      <c r="P425" s="5"/>
    </row>
    <row r="426" spans="11:16">
      <c r="K426" s="5"/>
      <c r="M426" s="5"/>
      <c r="P426" s="5"/>
    </row>
    <row r="427" spans="11:16">
      <c r="K427" s="5"/>
      <c r="M427" s="5"/>
      <c r="P427" s="5"/>
    </row>
    <row r="428" spans="11:16">
      <c r="K428" s="5"/>
      <c r="M428" s="5"/>
      <c r="P428" s="5"/>
    </row>
    <row r="429" spans="11:16">
      <c r="K429" s="5"/>
      <c r="M429" s="5"/>
      <c r="P429" s="5"/>
    </row>
    <row r="430" spans="11:16">
      <c r="K430" s="5"/>
      <c r="M430" s="5"/>
      <c r="P430" s="5"/>
    </row>
    <row r="431" spans="11:16">
      <c r="K431" s="5"/>
      <c r="M431" s="5"/>
      <c r="P431" s="5"/>
    </row>
    <row r="432" spans="11:16">
      <c r="K432" s="5"/>
      <c r="M432" s="5"/>
      <c r="P432" s="5"/>
    </row>
    <row r="433" spans="11:16">
      <c r="K433" s="5"/>
      <c r="M433" s="5"/>
      <c r="P433" s="5"/>
    </row>
    <row r="434" spans="11:16">
      <c r="K434" s="5"/>
      <c r="M434" s="5"/>
      <c r="P434" s="5"/>
    </row>
    <row r="435" spans="11:16">
      <c r="K435" s="5"/>
      <c r="M435" s="5"/>
      <c r="P435" s="5"/>
    </row>
    <row r="436" spans="11:16">
      <c r="K436" s="5"/>
      <c r="M436" s="5"/>
      <c r="P436" s="5"/>
    </row>
    <row r="437" spans="11:16">
      <c r="K437" s="5"/>
      <c r="M437" s="5"/>
      <c r="P437" s="5"/>
    </row>
    <row r="438" spans="11:16">
      <c r="K438" s="5"/>
      <c r="M438" s="5"/>
      <c r="P438" s="5"/>
    </row>
    <row r="439" spans="11:16">
      <c r="K439" s="5"/>
      <c r="M439" s="5"/>
      <c r="P439" s="5"/>
    </row>
    <row r="440" spans="11:16">
      <c r="K440" s="5"/>
      <c r="M440" s="5"/>
      <c r="P440" s="5"/>
    </row>
    <row r="441" spans="11:16">
      <c r="K441" s="5"/>
      <c r="M441" s="5"/>
      <c r="P441" s="5"/>
    </row>
    <row r="442" spans="11:16">
      <c r="K442" s="5"/>
      <c r="M442" s="5"/>
      <c r="P442" s="5"/>
    </row>
    <row r="443" spans="11:16">
      <c r="K443" s="5"/>
      <c r="M443" s="5"/>
      <c r="P443" s="5"/>
    </row>
    <row r="444" spans="11:16">
      <c r="K444" s="5"/>
      <c r="M444" s="5"/>
      <c r="P444" s="5"/>
    </row>
    <row r="445" spans="11:16">
      <c r="K445" s="5"/>
      <c r="M445" s="5"/>
      <c r="P445" s="5"/>
    </row>
    <row r="446" spans="11:16">
      <c r="K446" s="5"/>
      <c r="M446" s="5"/>
      <c r="P446" s="5"/>
    </row>
    <row r="447" spans="11:16">
      <c r="K447" s="5"/>
      <c r="M447" s="5"/>
      <c r="P447" s="5"/>
    </row>
    <row r="448" spans="11:16">
      <c r="K448" s="5"/>
      <c r="M448" s="5"/>
      <c r="P448" s="5"/>
    </row>
    <row r="449" spans="11:16">
      <c r="K449" s="5"/>
      <c r="M449" s="5"/>
      <c r="P449" s="5"/>
    </row>
    <row r="450" spans="11:16">
      <c r="K450" s="5"/>
      <c r="M450" s="5"/>
      <c r="P450" s="5"/>
    </row>
    <row r="451" spans="11:16">
      <c r="K451" s="5"/>
      <c r="M451" s="5"/>
      <c r="P451" s="5"/>
    </row>
    <row r="452" spans="11:16">
      <c r="K452" s="5"/>
      <c r="M452" s="5"/>
      <c r="P452" s="5"/>
    </row>
    <row r="453" spans="11:16">
      <c r="K453" s="5"/>
      <c r="M453" s="5"/>
      <c r="P453" s="5"/>
    </row>
    <row r="454" spans="11:16">
      <c r="K454" s="5"/>
      <c r="M454" s="5"/>
      <c r="P454" s="5"/>
    </row>
    <row r="455" spans="11:16">
      <c r="K455" s="5"/>
      <c r="M455" s="5"/>
      <c r="P455" s="5"/>
    </row>
    <row r="456" spans="11:16">
      <c r="K456" s="5"/>
      <c r="M456" s="5"/>
      <c r="P456" s="5"/>
    </row>
    <row r="457" spans="11:16">
      <c r="K457" s="5"/>
      <c r="M457" s="5"/>
      <c r="P457" s="5"/>
    </row>
    <row r="458" spans="11:16">
      <c r="K458" s="5"/>
      <c r="M458" s="5"/>
      <c r="P458" s="5"/>
    </row>
    <row r="459" spans="11:16">
      <c r="K459" s="5"/>
      <c r="M459" s="5"/>
      <c r="P459" s="5"/>
    </row>
    <row r="460" spans="11:16">
      <c r="K460" s="5"/>
      <c r="M460" s="5"/>
      <c r="P460" s="5"/>
    </row>
    <row r="461" spans="11:16">
      <c r="K461" s="5"/>
      <c r="M461" s="5"/>
      <c r="P461" s="5"/>
    </row>
    <row r="462" spans="11:16">
      <c r="K462" s="5"/>
      <c r="M462" s="5"/>
      <c r="P462" s="5"/>
    </row>
    <row r="463" spans="11:16">
      <c r="K463" s="5"/>
      <c r="M463" s="5"/>
      <c r="P463" s="5"/>
    </row>
    <row r="464" spans="11:16">
      <c r="K464" s="5"/>
      <c r="M464" s="5"/>
      <c r="P464" s="5"/>
    </row>
    <row r="465" spans="11:16">
      <c r="K465" s="5"/>
      <c r="M465" s="5"/>
      <c r="P465" s="5"/>
    </row>
    <row r="466" spans="11:16">
      <c r="K466" s="5"/>
      <c r="M466" s="5"/>
      <c r="P466" s="5"/>
    </row>
    <row r="467" spans="11:16">
      <c r="K467" s="5"/>
      <c r="M467" s="5"/>
      <c r="P467" s="5"/>
    </row>
    <row r="468" spans="11:16">
      <c r="K468" s="5"/>
      <c r="M468" s="5"/>
      <c r="P468" s="5"/>
    </row>
    <row r="469" spans="11:16">
      <c r="K469" s="5"/>
      <c r="M469" s="5"/>
      <c r="P469" s="5"/>
    </row>
    <row r="470" spans="11:16">
      <c r="K470" s="5"/>
      <c r="M470" s="5"/>
      <c r="P470" s="5"/>
    </row>
    <row r="471" spans="11:16">
      <c r="K471" s="5"/>
      <c r="M471" s="5"/>
      <c r="P471" s="5"/>
    </row>
    <row r="472" spans="11:16">
      <c r="K472" s="5"/>
      <c r="M472" s="5"/>
      <c r="P472" s="5"/>
    </row>
    <row r="473" spans="11:16">
      <c r="K473" s="5"/>
      <c r="M473" s="5"/>
      <c r="P473" s="5"/>
    </row>
    <row r="474" spans="11:16">
      <c r="K474" s="5"/>
      <c r="M474" s="5"/>
      <c r="P474" s="5"/>
    </row>
    <row r="475" spans="11:16">
      <c r="K475" s="5"/>
      <c r="M475" s="5"/>
      <c r="P475" s="5"/>
    </row>
    <row r="476" spans="11:16">
      <c r="K476" s="5"/>
      <c r="M476" s="5"/>
      <c r="P476" s="5"/>
    </row>
    <row r="477" spans="11:16">
      <c r="K477" s="5"/>
      <c r="M477" s="5"/>
      <c r="P477" s="5"/>
    </row>
    <row r="478" spans="11:16">
      <c r="K478" s="5"/>
      <c r="M478" s="5"/>
      <c r="P478" s="5"/>
    </row>
    <row r="479" spans="11:16">
      <c r="K479" s="5"/>
      <c r="M479" s="5"/>
      <c r="P479" s="5"/>
    </row>
    <row r="480" spans="11:16">
      <c r="K480" s="5"/>
      <c r="M480" s="5"/>
      <c r="P480" s="5"/>
    </row>
    <row r="481" spans="11:16">
      <c r="K481" s="5"/>
      <c r="M481" s="5"/>
      <c r="P481" s="5"/>
    </row>
    <row r="482" spans="11:16">
      <c r="K482" s="5"/>
      <c r="M482" s="5"/>
      <c r="P482" s="5"/>
    </row>
    <row r="483" spans="11:16">
      <c r="K483" s="5"/>
      <c r="M483" s="5"/>
      <c r="P483" s="5"/>
    </row>
    <row r="484" spans="11:16">
      <c r="K484" s="5"/>
      <c r="M484" s="5"/>
      <c r="P484" s="5"/>
    </row>
    <row r="485" spans="11:16">
      <c r="K485" s="5"/>
      <c r="M485" s="5"/>
      <c r="P485" s="5"/>
    </row>
    <row r="486" spans="11:16">
      <c r="K486" s="5"/>
      <c r="M486" s="5"/>
      <c r="P486" s="5"/>
    </row>
    <row r="487" spans="11:16">
      <c r="K487" s="5"/>
      <c r="M487" s="5"/>
      <c r="P487" s="5"/>
    </row>
    <row r="488" spans="11:16">
      <c r="K488" s="5"/>
      <c r="M488" s="5"/>
      <c r="P488" s="5"/>
    </row>
    <row r="489" spans="11:16">
      <c r="K489" s="5"/>
      <c r="M489" s="5"/>
      <c r="P489" s="5"/>
    </row>
    <row r="490" spans="11:16">
      <c r="K490" s="5"/>
      <c r="M490" s="5"/>
      <c r="P490" s="5"/>
    </row>
    <row r="491" spans="11:16">
      <c r="K491" s="5"/>
      <c r="M491" s="5"/>
      <c r="P491" s="5"/>
    </row>
    <row r="492" spans="11:16">
      <c r="K492" s="5"/>
      <c r="M492" s="5"/>
      <c r="P492" s="5"/>
    </row>
    <row r="493" spans="11:16">
      <c r="K493" s="5"/>
      <c r="M493" s="5"/>
      <c r="P493" s="5"/>
    </row>
    <row r="494" spans="11:16">
      <c r="K494" s="5"/>
      <c r="M494" s="5"/>
      <c r="P494" s="5"/>
    </row>
    <row r="495" spans="11:16">
      <c r="K495" s="5"/>
      <c r="M495" s="5"/>
      <c r="P495" s="5"/>
    </row>
    <row r="496" spans="11:16">
      <c r="K496" s="5"/>
      <c r="M496" s="5"/>
      <c r="P496" s="5"/>
    </row>
    <row r="497" spans="11:16">
      <c r="K497" s="5"/>
      <c r="M497" s="5"/>
      <c r="P497" s="5"/>
    </row>
    <row r="498" spans="11:16">
      <c r="K498" s="5"/>
      <c r="M498" s="5"/>
      <c r="P498" s="5"/>
    </row>
    <row r="499" spans="11:16">
      <c r="K499" s="5"/>
      <c r="M499" s="5"/>
      <c r="P499" s="5"/>
    </row>
    <row r="500" spans="11:16">
      <c r="K500" s="5"/>
      <c r="M500" s="5"/>
      <c r="P500" s="5"/>
    </row>
  </sheetData>
  <mergeCells count="1">
    <mergeCell ref="A1:Q1"/>
  </mergeCells>
  <conditionalFormatting sqref="E4:E500">
    <cfRule type="expression" dxfId="20" priority="1">
      <formula>OR($E4="Blocked",$E4="Needs Action")</formula>
    </cfRule>
    <cfRule type="expression" dxfId="19" priority="2">
      <formula>OR($E4="Waiting on Others",$E4="Pending",$E4="Under Review")</formula>
    </cfRule>
    <cfRule type="expression" dxfId="18" priority="3">
      <formula>OR($E4="In Progress",$E4="Starts 20 May")</formula>
    </cfRule>
    <cfRule type="expression" dxfId="17" priority="4">
      <formula>OR($E4="Complete",$E4="Ready",$E4="Complete / Under Review")</formula>
    </cfRule>
  </conditionalFormatting>
  <conditionalFormatting sqref="N4:N500">
    <cfRule type="expression" dxfId="16" priority="5">
      <formula>$N4="No"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900-000000000000}">
          <x14:formula1>
            <xm:f>Lists!$A$4:$A$18</xm:f>
          </x14:formula1>
          <xm:sqref>E4:E500</xm:sqref>
        </x14:dataValidation>
        <x14:dataValidation type="list" xr:uid="{00000000-0002-0000-0900-000001000000}">
          <x14:formula1>
            <xm:f>Lists!$K$4:$K$6</xm:f>
          </x14:formula1>
          <xm:sqref>D4:D500</xm:sqref>
        </x14:dataValidation>
        <x14:dataValidation type="list" xr:uid="{00000000-0002-0000-0900-000002000000}">
          <x14:formula1>
            <xm:f>Lists!$C$4:$C$8</xm:f>
          </x14:formula1>
          <xm:sqref>H4:H500</xm:sqref>
        </x14:dataValidation>
        <x14:dataValidation type="list" xr:uid="{00000000-0002-0000-0900-000003000000}">
          <x14:formula1>
            <xm:f>Lists!$E$4:$E$5</xm:f>
          </x14:formula1>
          <xm:sqref>N4:N500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495"/>
  <sheetViews>
    <sheetView topLeftCell="A6" workbookViewId="0">
      <selection activeCell="F7" sqref="F7"/>
    </sheetView>
  </sheetViews>
  <sheetFormatPr defaultRowHeight="14"/>
  <cols>
    <col min="1" max="1" width="18" customWidth="1"/>
    <col min="2" max="2" width="16" customWidth="1"/>
    <col min="3" max="3" width="38" customWidth="1"/>
    <col min="4" max="9" width="16" customWidth="1"/>
    <col min="10" max="12" width="14" customWidth="1"/>
    <col min="13" max="13" width="38" customWidth="1"/>
  </cols>
  <sheetData>
    <row r="1" spans="1:13" ht="20">
      <c r="A1" s="7" t="s">
        <v>242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3" spans="1:13">
      <c r="A3" s="1" t="s">
        <v>243</v>
      </c>
      <c r="B3" s="1" t="s">
        <v>244</v>
      </c>
      <c r="C3" s="1" t="s">
        <v>16</v>
      </c>
      <c r="D3" s="1" t="s">
        <v>39</v>
      </c>
      <c r="E3" s="1" t="s">
        <v>245</v>
      </c>
      <c r="F3" s="1" t="s">
        <v>212</v>
      </c>
      <c r="G3" s="1" t="s">
        <v>238</v>
      </c>
      <c r="H3" s="1" t="s">
        <v>237</v>
      </c>
      <c r="I3" s="1" t="s">
        <v>31</v>
      </c>
      <c r="J3" s="1" t="s">
        <v>117</v>
      </c>
      <c r="K3" s="1" t="s">
        <v>118</v>
      </c>
      <c r="L3" s="1" t="s">
        <v>17</v>
      </c>
      <c r="M3" s="1" t="s">
        <v>18</v>
      </c>
    </row>
    <row r="4" spans="1:13" ht="280">
      <c r="A4" s="2" t="s">
        <v>246</v>
      </c>
      <c r="B4" s="2" t="s">
        <v>1039</v>
      </c>
      <c r="C4" s="2" t="s">
        <v>1040</v>
      </c>
      <c r="D4" s="2" t="s">
        <v>50</v>
      </c>
      <c r="E4" s="11" t="s">
        <v>1057</v>
      </c>
      <c r="F4" s="2" t="s">
        <v>629</v>
      </c>
      <c r="G4" s="2" t="s">
        <v>247</v>
      </c>
      <c r="H4" s="2" t="s">
        <v>247</v>
      </c>
      <c r="I4" s="2" t="s">
        <v>248</v>
      </c>
      <c r="J4" s="2" t="s">
        <v>46</v>
      </c>
      <c r="K4" s="2">
        <v>1</v>
      </c>
      <c r="L4" s="4">
        <v>46156</v>
      </c>
      <c r="M4" s="2" t="s">
        <v>1041</v>
      </c>
    </row>
    <row r="5" spans="1:13" ht="336">
      <c r="A5" s="2" t="s">
        <v>249</v>
      </c>
      <c r="B5" s="2" t="s">
        <v>1042</v>
      </c>
      <c r="C5" s="2" t="s">
        <v>1043</v>
      </c>
      <c r="D5" s="2" t="s">
        <v>60</v>
      </c>
      <c r="E5" s="11" t="s">
        <v>1058</v>
      </c>
      <c r="F5" s="2" t="s">
        <v>134</v>
      </c>
      <c r="G5" s="2" t="s">
        <v>247</v>
      </c>
      <c r="H5" s="2" t="s">
        <v>247</v>
      </c>
      <c r="I5" s="2" t="s">
        <v>248</v>
      </c>
      <c r="J5" s="2" t="s">
        <v>46</v>
      </c>
      <c r="K5" s="2">
        <v>2</v>
      </c>
      <c r="L5" s="4">
        <v>46156</v>
      </c>
      <c r="M5" s="2" t="s">
        <v>1044</v>
      </c>
    </row>
    <row r="6" spans="1:13" ht="364">
      <c r="A6" s="2" t="s">
        <v>250</v>
      </c>
      <c r="B6" s="2" t="s">
        <v>1045</v>
      </c>
      <c r="C6" s="2" t="s">
        <v>1046</v>
      </c>
      <c r="D6" s="2" t="s">
        <v>69</v>
      </c>
      <c r="E6" s="11" t="s">
        <v>1059</v>
      </c>
      <c r="F6" s="2" t="s">
        <v>629</v>
      </c>
      <c r="G6" s="2" t="s">
        <v>247</v>
      </c>
      <c r="H6" s="2" t="s">
        <v>247</v>
      </c>
      <c r="I6" s="2" t="s">
        <v>248</v>
      </c>
      <c r="J6" s="2" t="s">
        <v>46</v>
      </c>
      <c r="K6" s="2">
        <v>3</v>
      </c>
      <c r="L6" s="4">
        <v>46156</v>
      </c>
      <c r="M6" s="2"/>
    </row>
    <row r="7" spans="1:13" ht="350">
      <c r="A7" s="2" t="s">
        <v>1047</v>
      </c>
      <c r="B7" s="2" t="s">
        <v>1060</v>
      </c>
      <c r="C7" s="2" t="s">
        <v>1061</v>
      </c>
      <c r="D7" s="2" t="s">
        <v>1063</v>
      </c>
      <c r="E7" s="11" t="s">
        <v>1062</v>
      </c>
      <c r="F7" s="2" t="s">
        <v>1048</v>
      </c>
      <c r="G7" s="2" t="s">
        <v>247</v>
      </c>
      <c r="H7" s="2" t="s">
        <v>247</v>
      </c>
      <c r="I7" s="2" t="s">
        <v>248</v>
      </c>
      <c r="J7" s="2" t="s">
        <v>46</v>
      </c>
      <c r="K7" s="2">
        <v>6</v>
      </c>
      <c r="L7" s="4">
        <v>46156</v>
      </c>
      <c r="M7" s="2" t="s">
        <v>1049</v>
      </c>
    </row>
    <row r="8" spans="1:13" ht="252">
      <c r="A8" s="2" t="s">
        <v>1050</v>
      </c>
      <c r="B8" s="2" t="s">
        <v>1051</v>
      </c>
      <c r="C8" s="2" t="s">
        <v>1052</v>
      </c>
      <c r="D8" s="2" t="s">
        <v>50</v>
      </c>
      <c r="E8" s="11" t="s">
        <v>1064</v>
      </c>
      <c r="F8" s="2" t="s">
        <v>1054</v>
      </c>
      <c r="G8" s="2" t="s">
        <v>1055</v>
      </c>
      <c r="H8" s="2" t="s">
        <v>247</v>
      </c>
      <c r="I8" s="2" t="s">
        <v>1056</v>
      </c>
      <c r="J8" s="2" t="s">
        <v>46</v>
      </c>
      <c r="K8" s="2">
        <v>7</v>
      </c>
      <c r="L8" s="4">
        <v>46156</v>
      </c>
      <c r="M8" s="2"/>
    </row>
    <row r="9" spans="1:1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4"/>
      <c r="M9" s="2"/>
    </row>
    <row r="10" spans="1:1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4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4"/>
      <c r="M11" s="2"/>
    </row>
    <row r="12" spans="1:1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4"/>
      <c r="M12" s="2"/>
    </row>
    <row r="13" spans="1: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4"/>
      <c r="M13" s="2"/>
    </row>
    <row r="14" spans="1:1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4"/>
      <c r="M14" s="2"/>
    </row>
    <row r="15" spans="1:1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4"/>
      <c r="M15" s="2"/>
    </row>
    <row r="16" spans="1:1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4"/>
      <c r="M16" s="2"/>
    </row>
    <row r="17" spans="1:1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4"/>
      <c r="M17" s="2"/>
    </row>
    <row r="18" spans="1:1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4"/>
      <c r="M18" s="2"/>
    </row>
    <row r="19" spans="1:1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4"/>
      <c r="M19" s="2"/>
    </row>
    <row r="20" spans="1:1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4"/>
      <c r="M20" s="2"/>
    </row>
    <row r="21" spans="1:1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4"/>
      <c r="M21" s="2"/>
    </row>
    <row r="22" spans="1:1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4"/>
      <c r="M22" s="2"/>
    </row>
    <row r="23" spans="1:1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</row>
    <row r="24" spans="1:1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4"/>
      <c r="M24" s="2"/>
    </row>
    <row r="25" spans="1:1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</row>
    <row r="26" spans="1:1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4"/>
      <c r="M26" s="2"/>
    </row>
    <row r="27" spans="1:1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</row>
    <row r="28" spans="1:1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4"/>
      <c r="M28" s="2"/>
    </row>
    <row r="29" spans="1:1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</row>
    <row r="30" spans="1:1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4"/>
      <c r="M30" s="2"/>
    </row>
    <row r="31" spans="1:1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</row>
    <row r="32" spans="1:1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4"/>
      <c r="M32" s="2"/>
    </row>
    <row r="33" spans="1:1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</row>
    <row r="34" spans="1:1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4"/>
      <c r="M34" s="2"/>
    </row>
    <row r="35" spans="1:1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</row>
    <row r="36" spans="1:1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4"/>
      <c r="M36" s="2"/>
    </row>
    <row r="37" spans="1:1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</row>
    <row r="38" spans="1:1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4"/>
      <c r="M38" s="2"/>
    </row>
    <row r="39" spans="1:1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</row>
    <row r="40" spans="1:1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4"/>
      <c r="M40" s="2"/>
    </row>
    <row r="41" spans="1:1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</row>
    <row r="42" spans="1:1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4"/>
      <c r="M42" s="2"/>
    </row>
    <row r="43" spans="1:1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</row>
    <row r="44" spans="1:1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4"/>
      <c r="M44" s="2"/>
    </row>
    <row r="45" spans="1:1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</row>
    <row r="46" spans="1:1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4"/>
      <c r="M46" s="2"/>
    </row>
    <row r="47" spans="1:1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4"/>
      <c r="M47" s="2"/>
    </row>
    <row r="48" spans="1:1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4"/>
      <c r="M48" s="2"/>
    </row>
    <row r="49" spans="12:12">
      <c r="L49" s="5"/>
    </row>
    <row r="50" spans="12:12">
      <c r="L50" s="5"/>
    </row>
    <row r="51" spans="12:12">
      <c r="L51" s="5"/>
    </row>
    <row r="52" spans="12:12">
      <c r="L52" s="5"/>
    </row>
    <row r="53" spans="12:12">
      <c r="L53" s="5"/>
    </row>
    <row r="54" spans="12:12">
      <c r="L54" s="5"/>
    </row>
    <row r="55" spans="12:12">
      <c r="L55" s="5"/>
    </row>
    <row r="56" spans="12:12">
      <c r="L56" s="5"/>
    </row>
    <row r="57" spans="12:12">
      <c r="L57" s="5"/>
    </row>
    <row r="58" spans="12:12">
      <c r="L58" s="5"/>
    </row>
    <row r="59" spans="12:12">
      <c r="L59" s="5"/>
    </row>
    <row r="60" spans="12:12">
      <c r="L60" s="5"/>
    </row>
    <row r="61" spans="12:12">
      <c r="L61" s="5"/>
    </row>
    <row r="62" spans="12:12">
      <c r="L62" s="5"/>
    </row>
    <row r="63" spans="12:12">
      <c r="L63" s="5"/>
    </row>
    <row r="64" spans="12:12">
      <c r="L64" s="5"/>
    </row>
    <row r="65" spans="12:12">
      <c r="L65" s="5"/>
    </row>
    <row r="66" spans="12:12">
      <c r="L66" s="5"/>
    </row>
    <row r="67" spans="12:12">
      <c r="L67" s="5"/>
    </row>
    <row r="68" spans="12:12">
      <c r="L68" s="5"/>
    </row>
    <row r="69" spans="12:12">
      <c r="L69" s="5"/>
    </row>
    <row r="70" spans="12:12">
      <c r="L70" s="5"/>
    </row>
    <row r="71" spans="12:12">
      <c r="L71" s="5"/>
    </row>
    <row r="72" spans="12:12">
      <c r="L72" s="5"/>
    </row>
    <row r="73" spans="12:12">
      <c r="L73" s="5"/>
    </row>
    <row r="74" spans="12:12">
      <c r="L74" s="5"/>
    </row>
    <row r="75" spans="12:12">
      <c r="L75" s="5"/>
    </row>
    <row r="76" spans="12:12">
      <c r="L76" s="5"/>
    </row>
    <row r="77" spans="12:12">
      <c r="L77" s="5"/>
    </row>
    <row r="78" spans="12:12">
      <c r="L78" s="5"/>
    </row>
    <row r="79" spans="12:12">
      <c r="L79" s="5"/>
    </row>
    <row r="80" spans="12:12">
      <c r="L80" s="5"/>
    </row>
    <row r="81" spans="12:12">
      <c r="L81" s="5"/>
    </row>
    <row r="82" spans="12:12">
      <c r="L82" s="5"/>
    </row>
    <row r="83" spans="12:12">
      <c r="L83" s="5"/>
    </row>
    <row r="84" spans="12:12">
      <c r="L84" s="5"/>
    </row>
    <row r="85" spans="12:12">
      <c r="L85" s="5"/>
    </row>
    <row r="86" spans="12:12">
      <c r="L86" s="5"/>
    </row>
    <row r="87" spans="12:12">
      <c r="L87" s="5"/>
    </row>
    <row r="88" spans="12:12">
      <c r="L88" s="5"/>
    </row>
    <row r="89" spans="12:12">
      <c r="L89" s="5"/>
    </row>
    <row r="90" spans="12:12">
      <c r="L90" s="5"/>
    </row>
    <row r="91" spans="12:12">
      <c r="L91" s="5"/>
    </row>
    <row r="92" spans="12:12">
      <c r="L92" s="5"/>
    </row>
    <row r="93" spans="12:12">
      <c r="L93" s="5"/>
    </row>
    <row r="94" spans="12:12">
      <c r="L94" s="5"/>
    </row>
    <row r="95" spans="12:12">
      <c r="L95" s="5"/>
    </row>
    <row r="96" spans="12:12">
      <c r="L96" s="5"/>
    </row>
    <row r="97" spans="12:12">
      <c r="L97" s="5"/>
    </row>
    <row r="98" spans="12:12">
      <c r="L98" s="5"/>
    </row>
    <row r="99" spans="12:12">
      <c r="L99" s="5"/>
    </row>
    <row r="100" spans="12:12">
      <c r="L100" s="5"/>
    </row>
    <row r="101" spans="12:12">
      <c r="L101" s="5"/>
    </row>
    <row r="102" spans="12:12">
      <c r="L102" s="5"/>
    </row>
    <row r="103" spans="12:12">
      <c r="L103" s="5"/>
    </row>
    <row r="104" spans="12:12">
      <c r="L104" s="5"/>
    </row>
    <row r="105" spans="12:12">
      <c r="L105" s="5"/>
    </row>
    <row r="106" spans="12:12">
      <c r="L106" s="5"/>
    </row>
    <row r="107" spans="12:12">
      <c r="L107" s="5"/>
    </row>
    <row r="108" spans="12:12">
      <c r="L108" s="5"/>
    </row>
    <row r="109" spans="12:12">
      <c r="L109" s="5"/>
    </row>
    <row r="110" spans="12:12">
      <c r="L110" s="5"/>
    </row>
    <row r="111" spans="12:12">
      <c r="L111" s="5"/>
    </row>
    <row r="112" spans="12:12">
      <c r="L112" s="5"/>
    </row>
    <row r="113" spans="12:12">
      <c r="L113" s="5"/>
    </row>
    <row r="114" spans="12:12">
      <c r="L114" s="5"/>
    </row>
    <row r="115" spans="12:12">
      <c r="L115" s="5"/>
    </row>
    <row r="116" spans="12:12">
      <c r="L116" s="5"/>
    </row>
    <row r="117" spans="12:12">
      <c r="L117" s="5"/>
    </row>
    <row r="118" spans="12:12">
      <c r="L118" s="5"/>
    </row>
    <row r="119" spans="12:12">
      <c r="L119" s="5"/>
    </row>
    <row r="120" spans="12:12">
      <c r="L120" s="5"/>
    </row>
    <row r="121" spans="12:12">
      <c r="L121" s="5"/>
    </row>
    <row r="122" spans="12:12">
      <c r="L122" s="5"/>
    </row>
    <row r="123" spans="12:12">
      <c r="L123" s="5"/>
    </row>
    <row r="124" spans="12:12">
      <c r="L124" s="5"/>
    </row>
    <row r="125" spans="12:12">
      <c r="L125" s="5"/>
    </row>
    <row r="126" spans="12:12">
      <c r="L126" s="5"/>
    </row>
    <row r="127" spans="12:12">
      <c r="L127" s="5"/>
    </row>
    <row r="128" spans="12:12">
      <c r="L128" s="5"/>
    </row>
    <row r="129" spans="12:12">
      <c r="L129" s="5"/>
    </row>
    <row r="130" spans="12:12">
      <c r="L130" s="5"/>
    </row>
    <row r="131" spans="12:12">
      <c r="L131" s="5"/>
    </row>
    <row r="132" spans="12:12">
      <c r="L132" s="5"/>
    </row>
    <row r="133" spans="12:12">
      <c r="L133" s="5"/>
    </row>
    <row r="134" spans="12:12">
      <c r="L134" s="5"/>
    </row>
    <row r="135" spans="12:12">
      <c r="L135" s="5"/>
    </row>
    <row r="136" spans="12:12">
      <c r="L136" s="5"/>
    </row>
    <row r="137" spans="12:12">
      <c r="L137" s="5"/>
    </row>
    <row r="138" spans="12:12">
      <c r="L138" s="5"/>
    </row>
    <row r="139" spans="12:12">
      <c r="L139" s="5"/>
    </row>
    <row r="140" spans="12:12">
      <c r="L140" s="5"/>
    </row>
    <row r="141" spans="12:12">
      <c r="L141" s="5"/>
    </row>
    <row r="142" spans="12:12">
      <c r="L142" s="5"/>
    </row>
    <row r="143" spans="12:12">
      <c r="L143" s="5"/>
    </row>
    <row r="144" spans="12:12">
      <c r="L144" s="5"/>
    </row>
    <row r="145" spans="12:12">
      <c r="L145" s="5"/>
    </row>
    <row r="146" spans="12:12">
      <c r="L146" s="5"/>
    </row>
    <row r="147" spans="12:12">
      <c r="L147" s="5"/>
    </row>
    <row r="148" spans="12:12">
      <c r="L148" s="5"/>
    </row>
    <row r="149" spans="12:12">
      <c r="L149" s="5"/>
    </row>
    <row r="150" spans="12:12">
      <c r="L150" s="5"/>
    </row>
    <row r="151" spans="12:12">
      <c r="L151" s="5"/>
    </row>
    <row r="152" spans="12:12">
      <c r="L152" s="5"/>
    </row>
    <row r="153" spans="12:12">
      <c r="L153" s="5"/>
    </row>
    <row r="154" spans="12:12">
      <c r="L154" s="5"/>
    </row>
    <row r="155" spans="12:12">
      <c r="L155" s="5"/>
    </row>
    <row r="156" spans="12:12">
      <c r="L156" s="5"/>
    </row>
    <row r="157" spans="12:12">
      <c r="L157" s="5"/>
    </row>
    <row r="158" spans="12:12">
      <c r="L158" s="5"/>
    </row>
    <row r="159" spans="12:12">
      <c r="L159" s="5"/>
    </row>
    <row r="160" spans="12:12">
      <c r="L160" s="5"/>
    </row>
    <row r="161" spans="12:12">
      <c r="L161" s="5"/>
    </row>
    <row r="162" spans="12:12">
      <c r="L162" s="5"/>
    </row>
    <row r="163" spans="12:12">
      <c r="L163" s="5"/>
    </row>
    <row r="164" spans="12:12">
      <c r="L164" s="5"/>
    </row>
    <row r="165" spans="12:12">
      <c r="L165" s="5"/>
    </row>
    <row r="166" spans="12:12">
      <c r="L166" s="5"/>
    </row>
    <row r="167" spans="12:12">
      <c r="L167" s="5"/>
    </row>
    <row r="168" spans="12:12">
      <c r="L168" s="5"/>
    </row>
    <row r="169" spans="12:12">
      <c r="L169" s="5"/>
    </row>
    <row r="170" spans="12:12">
      <c r="L170" s="5"/>
    </row>
    <row r="171" spans="12:12">
      <c r="L171" s="5"/>
    </row>
    <row r="172" spans="12:12">
      <c r="L172" s="5"/>
    </row>
    <row r="173" spans="12:12">
      <c r="L173" s="5"/>
    </row>
    <row r="174" spans="12:12">
      <c r="L174" s="5"/>
    </row>
    <row r="175" spans="12:12">
      <c r="L175" s="5"/>
    </row>
    <row r="176" spans="12:12">
      <c r="L176" s="5"/>
    </row>
    <row r="177" spans="12:12">
      <c r="L177" s="5"/>
    </row>
    <row r="178" spans="12:12">
      <c r="L178" s="5"/>
    </row>
    <row r="179" spans="12:12">
      <c r="L179" s="5"/>
    </row>
    <row r="180" spans="12:12">
      <c r="L180" s="5"/>
    </row>
    <row r="181" spans="12:12">
      <c r="L181" s="5"/>
    </row>
    <row r="182" spans="12:12">
      <c r="L182" s="5"/>
    </row>
    <row r="183" spans="12:12">
      <c r="L183" s="5"/>
    </row>
    <row r="184" spans="12:12">
      <c r="L184" s="5"/>
    </row>
    <row r="185" spans="12:12">
      <c r="L185" s="5"/>
    </row>
    <row r="186" spans="12:12">
      <c r="L186" s="5"/>
    </row>
    <row r="187" spans="12:12">
      <c r="L187" s="5"/>
    </row>
    <row r="188" spans="12:12">
      <c r="L188" s="5"/>
    </row>
    <row r="189" spans="12:12">
      <c r="L189" s="5"/>
    </row>
    <row r="190" spans="12:12">
      <c r="L190" s="5"/>
    </row>
    <row r="191" spans="12:12">
      <c r="L191" s="5"/>
    </row>
    <row r="192" spans="12:12">
      <c r="L192" s="5"/>
    </row>
    <row r="193" spans="12:12">
      <c r="L193" s="5"/>
    </row>
    <row r="194" spans="12:12">
      <c r="L194" s="5"/>
    </row>
    <row r="195" spans="12:12">
      <c r="L195" s="5"/>
    </row>
    <row r="196" spans="12:12">
      <c r="L196" s="5"/>
    </row>
    <row r="197" spans="12:12">
      <c r="L197" s="5"/>
    </row>
    <row r="198" spans="12:12">
      <c r="L198" s="5"/>
    </row>
    <row r="199" spans="12:12">
      <c r="L199" s="5"/>
    </row>
    <row r="200" spans="12:12">
      <c r="L200" s="5"/>
    </row>
    <row r="201" spans="12:12">
      <c r="L201" s="5"/>
    </row>
    <row r="202" spans="12:12">
      <c r="L202" s="5"/>
    </row>
    <row r="203" spans="12:12">
      <c r="L203" s="5"/>
    </row>
    <row r="204" spans="12:12">
      <c r="L204" s="5"/>
    </row>
    <row r="205" spans="12:12">
      <c r="L205" s="5"/>
    </row>
    <row r="206" spans="12:12">
      <c r="L206" s="5"/>
    </row>
    <row r="207" spans="12:12">
      <c r="L207" s="5"/>
    </row>
    <row r="208" spans="12:12">
      <c r="L208" s="5"/>
    </row>
    <row r="209" spans="12:12">
      <c r="L209" s="5"/>
    </row>
    <row r="210" spans="12:12">
      <c r="L210" s="5"/>
    </row>
    <row r="211" spans="12:12">
      <c r="L211" s="5"/>
    </row>
    <row r="212" spans="12:12">
      <c r="L212" s="5"/>
    </row>
    <row r="213" spans="12:12">
      <c r="L213" s="5"/>
    </row>
    <row r="214" spans="12:12">
      <c r="L214" s="5"/>
    </row>
    <row r="215" spans="12:12">
      <c r="L215" s="5"/>
    </row>
    <row r="216" spans="12:12">
      <c r="L216" s="5"/>
    </row>
    <row r="217" spans="12:12">
      <c r="L217" s="5"/>
    </row>
    <row r="218" spans="12:12">
      <c r="L218" s="5"/>
    </row>
    <row r="219" spans="12:12">
      <c r="L219" s="5"/>
    </row>
    <row r="220" spans="12:12">
      <c r="L220" s="5"/>
    </row>
    <row r="221" spans="12:12">
      <c r="L221" s="5"/>
    </row>
    <row r="222" spans="12:12">
      <c r="L222" s="5"/>
    </row>
    <row r="223" spans="12:12">
      <c r="L223" s="5"/>
    </row>
    <row r="224" spans="12:12">
      <c r="L224" s="5"/>
    </row>
    <row r="225" spans="12:12">
      <c r="L225" s="5"/>
    </row>
    <row r="226" spans="12:12">
      <c r="L226" s="5"/>
    </row>
    <row r="227" spans="12:12">
      <c r="L227" s="5"/>
    </row>
    <row r="228" spans="12:12">
      <c r="L228" s="5"/>
    </row>
    <row r="229" spans="12:12">
      <c r="L229" s="5"/>
    </row>
    <row r="230" spans="12:12">
      <c r="L230" s="5"/>
    </row>
    <row r="231" spans="12:12">
      <c r="L231" s="5"/>
    </row>
    <row r="232" spans="12:12">
      <c r="L232" s="5"/>
    </row>
    <row r="233" spans="12:12">
      <c r="L233" s="5"/>
    </row>
    <row r="234" spans="12:12">
      <c r="L234" s="5"/>
    </row>
    <row r="235" spans="12:12">
      <c r="L235" s="5"/>
    </row>
    <row r="236" spans="12:12">
      <c r="L236" s="5"/>
    </row>
    <row r="237" spans="12:12">
      <c r="L237" s="5"/>
    </row>
    <row r="238" spans="12:12">
      <c r="L238" s="5"/>
    </row>
    <row r="239" spans="12:12">
      <c r="L239" s="5"/>
    </row>
    <row r="240" spans="12:12">
      <c r="L240" s="5"/>
    </row>
    <row r="241" spans="12:12">
      <c r="L241" s="5"/>
    </row>
    <row r="242" spans="12:12">
      <c r="L242" s="5"/>
    </row>
    <row r="243" spans="12:12">
      <c r="L243" s="5"/>
    </row>
    <row r="244" spans="12:12">
      <c r="L244" s="5"/>
    </row>
    <row r="245" spans="12:12">
      <c r="L245" s="5"/>
    </row>
    <row r="246" spans="12:12">
      <c r="L246" s="5"/>
    </row>
    <row r="247" spans="12:12">
      <c r="L247" s="5"/>
    </row>
    <row r="248" spans="12:12">
      <c r="L248" s="5"/>
    </row>
    <row r="249" spans="12:12">
      <c r="L249" s="5"/>
    </row>
    <row r="250" spans="12:12">
      <c r="L250" s="5"/>
    </row>
    <row r="251" spans="12:12">
      <c r="L251" s="5"/>
    </row>
    <row r="252" spans="12:12">
      <c r="L252" s="5"/>
    </row>
    <row r="253" spans="12:12">
      <c r="L253" s="5"/>
    </row>
    <row r="254" spans="12:12">
      <c r="L254" s="5"/>
    </row>
    <row r="255" spans="12:12">
      <c r="L255" s="5"/>
    </row>
    <row r="256" spans="12:12">
      <c r="L256" s="5"/>
    </row>
    <row r="257" spans="12:12">
      <c r="L257" s="5"/>
    </row>
    <row r="258" spans="12:12">
      <c r="L258" s="5"/>
    </row>
    <row r="259" spans="12:12">
      <c r="L259" s="5"/>
    </row>
    <row r="260" spans="12:12">
      <c r="L260" s="5"/>
    </row>
    <row r="261" spans="12:12">
      <c r="L261" s="5"/>
    </row>
    <row r="262" spans="12:12">
      <c r="L262" s="5"/>
    </row>
    <row r="263" spans="12:12">
      <c r="L263" s="5"/>
    </row>
    <row r="264" spans="12:12">
      <c r="L264" s="5"/>
    </row>
    <row r="265" spans="12:12">
      <c r="L265" s="5"/>
    </row>
    <row r="266" spans="12:12">
      <c r="L266" s="5"/>
    </row>
    <row r="267" spans="12:12">
      <c r="L267" s="5"/>
    </row>
    <row r="268" spans="12:12">
      <c r="L268" s="5"/>
    </row>
    <row r="269" spans="12:12">
      <c r="L269" s="5"/>
    </row>
    <row r="270" spans="12:12">
      <c r="L270" s="5"/>
    </row>
    <row r="271" spans="12:12">
      <c r="L271" s="5"/>
    </row>
    <row r="272" spans="12:12">
      <c r="L272" s="5"/>
    </row>
    <row r="273" spans="12:12">
      <c r="L273" s="5"/>
    </row>
    <row r="274" spans="12:12">
      <c r="L274" s="5"/>
    </row>
    <row r="275" spans="12:12">
      <c r="L275" s="5"/>
    </row>
    <row r="276" spans="12:12">
      <c r="L276" s="5"/>
    </row>
    <row r="277" spans="12:12">
      <c r="L277" s="5"/>
    </row>
    <row r="278" spans="12:12">
      <c r="L278" s="5"/>
    </row>
    <row r="279" spans="12:12">
      <c r="L279" s="5"/>
    </row>
    <row r="280" spans="12:12">
      <c r="L280" s="5"/>
    </row>
    <row r="281" spans="12:12">
      <c r="L281" s="5"/>
    </row>
    <row r="282" spans="12:12">
      <c r="L282" s="5"/>
    </row>
    <row r="283" spans="12:12">
      <c r="L283" s="5"/>
    </row>
    <row r="284" spans="12:12">
      <c r="L284" s="5"/>
    </row>
    <row r="285" spans="12:12">
      <c r="L285" s="5"/>
    </row>
    <row r="286" spans="12:12">
      <c r="L286" s="5"/>
    </row>
    <row r="287" spans="12:12">
      <c r="L287" s="5"/>
    </row>
    <row r="288" spans="12:12">
      <c r="L288" s="5"/>
    </row>
    <row r="289" spans="12:12">
      <c r="L289" s="5"/>
    </row>
    <row r="290" spans="12:12">
      <c r="L290" s="5"/>
    </row>
    <row r="291" spans="12:12">
      <c r="L291" s="5"/>
    </row>
    <row r="292" spans="12:12">
      <c r="L292" s="5"/>
    </row>
    <row r="293" spans="12:12">
      <c r="L293" s="5"/>
    </row>
    <row r="294" spans="12:12">
      <c r="L294" s="5"/>
    </row>
    <row r="295" spans="12:12">
      <c r="L295" s="5"/>
    </row>
    <row r="296" spans="12:12">
      <c r="L296" s="5"/>
    </row>
    <row r="297" spans="12:12">
      <c r="L297" s="5"/>
    </row>
    <row r="298" spans="12:12">
      <c r="L298" s="5"/>
    </row>
    <row r="299" spans="12:12">
      <c r="L299" s="5"/>
    </row>
    <row r="300" spans="12:12">
      <c r="L300" s="5"/>
    </row>
    <row r="301" spans="12:12">
      <c r="L301" s="5"/>
    </row>
    <row r="302" spans="12:12">
      <c r="L302" s="5"/>
    </row>
    <row r="303" spans="12:12">
      <c r="L303" s="5"/>
    </row>
    <row r="304" spans="12:12">
      <c r="L304" s="5"/>
    </row>
    <row r="305" spans="12:12">
      <c r="L305" s="5"/>
    </row>
    <row r="306" spans="12:12">
      <c r="L306" s="5"/>
    </row>
    <row r="307" spans="12:12">
      <c r="L307" s="5"/>
    </row>
    <row r="308" spans="12:12">
      <c r="L308" s="5"/>
    </row>
    <row r="309" spans="12:12">
      <c r="L309" s="5"/>
    </row>
    <row r="310" spans="12:12">
      <c r="L310" s="5"/>
    </row>
    <row r="311" spans="12:12">
      <c r="L311" s="5"/>
    </row>
    <row r="312" spans="12:12">
      <c r="L312" s="5"/>
    </row>
    <row r="313" spans="12:12">
      <c r="L313" s="5"/>
    </row>
    <row r="314" spans="12:12">
      <c r="L314" s="5"/>
    </row>
    <row r="315" spans="12:12">
      <c r="L315" s="5"/>
    </row>
    <row r="316" spans="12:12">
      <c r="L316" s="5"/>
    </row>
    <row r="317" spans="12:12">
      <c r="L317" s="5"/>
    </row>
    <row r="318" spans="12:12">
      <c r="L318" s="5"/>
    </row>
    <row r="319" spans="12:12">
      <c r="L319" s="5"/>
    </row>
    <row r="320" spans="12:12">
      <c r="L320" s="5"/>
    </row>
    <row r="321" spans="12:12">
      <c r="L321" s="5"/>
    </row>
    <row r="322" spans="12:12">
      <c r="L322" s="5"/>
    </row>
    <row r="323" spans="12:12">
      <c r="L323" s="5"/>
    </row>
    <row r="324" spans="12:12">
      <c r="L324" s="5"/>
    </row>
    <row r="325" spans="12:12">
      <c r="L325" s="5"/>
    </row>
    <row r="326" spans="12:12">
      <c r="L326" s="5"/>
    </row>
    <row r="327" spans="12:12">
      <c r="L327" s="5"/>
    </row>
    <row r="328" spans="12:12">
      <c r="L328" s="5"/>
    </row>
    <row r="329" spans="12:12">
      <c r="L329" s="5"/>
    </row>
    <row r="330" spans="12:12">
      <c r="L330" s="5"/>
    </row>
    <row r="331" spans="12:12">
      <c r="L331" s="5"/>
    </row>
    <row r="332" spans="12:12">
      <c r="L332" s="5"/>
    </row>
    <row r="333" spans="12:12">
      <c r="L333" s="5"/>
    </row>
    <row r="334" spans="12:12">
      <c r="L334" s="5"/>
    </row>
    <row r="335" spans="12:12">
      <c r="L335" s="5"/>
    </row>
    <row r="336" spans="12:12">
      <c r="L336" s="5"/>
    </row>
    <row r="337" spans="12:12">
      <c r="L337" s="5"/>
    </row>
    <row r="338" spans="12:12">
      <c r="L338" s="5"/>
    </row>
    <row r="339" spans="12:12">
      <c r="L339" s="5"/>
    </row>
    <row r="340" spans="12:12">
      <c r="L340" s="5"/>
    </row>
    <row r="341" spans="12:12">
      <c r="L341" s="5"/>
    </row>
    <row r="342" spans="12:12">
      <c r="L342" s="5"/>
    </row>
    <row r="343" spans="12:12">
      <c r="L343" s="5"/>
    </row>
    <row r="344" spans="12:12">
      <c r="L344" s="5"/>
    </row>
    <row r="345" spans="12:12">
      <c r="L345" s="5"/>
    </row>
    <row r="346" spans="12:12">
      <c r="L346" s="5"/>
    </row>
    <row r="347" spans="12:12">
      <c r="L347" s="5"/>
    </row>
    <row r="348" spans="12:12">
      <c r="L348" s="5"/>
    </row>
    <row r="349" spans="12:12">
      <c r="L349" s="5"/>
    </row>
    <row r="350" spans="12:12">
      <c r="L350" s="5"/>
    </row>
    <row r="351" spans="12:12">
      <c r="L351" s="5"/>
    </row>
    <row r="352" spans="12:12">
      <c r="L352" s="5"/>
    </row>
    <row r="353" spans="12:12">
      <c r="L353" s="5"/>
    </row>
    <row r="354" spans="12:12">
      <c r="L354" s="5"/>
    </row>
    <row r="355" spans="12:12">
      <c r="L355" s="5"/>
    </row>
    <row r="356" spans="12:12">
      <c r="L356" s="5"/>
    </row>
    <row r="357" spans="12:12">
      <c r="L357" s="5"/>
    </row>
    <row r="358" spans="12:12">
      <c r="L358" s="5"/>
    </row>
    <row r="359" spans="12:12">
      <c r="L359" s="5"/>
    </row>
    <row r="360" spans="12:12">
      <c r="L360" s="5"/>
    </row>
    <row r="361" spans="12:12">
      <c r="L361" s="5"/>
    </row>
    <row r="362" spans="12:12">
      <c r="L362" s="5"/>
    </row>
    <row r="363" spans="12:12">
      <c r="L363" s="5"/>
    </row>
    <row r="364" spans="12:12">
      <c r="L364" s="5"/>
    </row>
    <row r="365" spans="12:12">
      <c r="L365" s="5"/>
    </row>
    <row r="366" spans="12:12">
      <c r="L366" s="5"/>
    </row>
    <row r="367" spans="12:12">
      <c r="L367" s="5"/>
    </row>
    <row r="368" spans="12:12">
      <c r="L368" s="5"/>
    </row>
    <row r="369" spans="12:12">
      <c r="L369" s="5"/>
    </row>
    <row r="370" spans="12:12">
      <c r="L370" s="5"/>
    </row>
    <row r="371" spans="12:12">
      <c r="L371" s="5"/>
    </row>
    <row r="372" spans="12:12">
      <c r="L372" s="5"/>
    </row>
    <row r="373" spans="12:12">
      <c r="L373" s="5"/>
    </row>
    <row r="374" spans="12:12">
      <c r="L374" s="5"/>
    </row>
    <row r="375" spans="12:12">
      <c r="L375" s="5"/>
    </row>
    <row r="376" spans="12:12">
      <c r="L376" s="5"/>
    </row>
    <row r="377" spans="12:12">
      <c r="L377" s="5"/>
    </row>
    <row r="378" spans="12:12">
      <c r="L378" s="5"/>
    </row>
    <row r="379" spans="12:12">
      <c r="L379" s="5"/>
    </row>
    <row r="380" spans="12:12">
      <c r="L380" s="5"/>
    </row>
    <row r="381" spans="12:12">
      <c r="L381" s="5"/>
    </row>
    <row r="382" spans="12:12">
      <c r="L382" s="5"/>
    </row>
    <row r="383" spans="12:12">
      <c r="L383" s="5"/>
    </row>
    <row r="384" spans="12:12">
      <c r="L384" s="5"/>
    </row>
    <row r="385" spans="12:12">
      <c r="L385" s="5"/>
    </row>
    <row r="386" spans="12:12">
      <c r="L386" s="5"/>
    </row>
    <row r="387" spans="12:12">
      <c r="L387" s="5"/>
    </row>
    <row r="388" spans="12:12">
      <c r="L388" s="5"/>
    </row>
    <row r="389" spans="12:12">
      <c r="L389" s="5"/>
    </row>
    <row r="390" spans="12:12">
      <c r="L390" s="5"/>
    </row>
    <row r="391" spans="12:12">
      <c r="L391" s="5"/>
    </row>
    <row r="392" spans="12:12">
      <c r="L392" s="5"/>
    </row>
    <row r="393" spans="12:12">
      <c r="L393" s="5"/>
    </row>
    <row r="394" spans="12:12">
      <c r="L394" s="5"/>
    </row>
    <row r="395" spans="12:12">
      <c r="L395" s="5"/>
    </row>
    <row r="396" spans="12:12">
      <c r="L396" s="5"/>
    </row>
    <row r="397" spans="12:12">
      <c r="L397" s="5"/>
    </row>
    <row r="398" spans="12:12">
      <c r="L398" s="5"/>
    </row>
    <row r="399" spans="12:12">
      <c r="L399" s="5"/>
    </row>
    <row r="400" spans="12:12">
      <c r="L400" s="5"/>
    </row>
    <row r="401" spans="12:12">
      <c r="L401" s="5"/>
    </row>
    <row r="402" spans="12:12">
      <c r="L402" s="5"/>
    </row>
    <row r="403" spans="12:12">
      <c r="L403" s="5"/>
    </row>
    <row r="404" spans="12:12">
      <c r="L404" s="5"/>
    </row>
    <row r="405" spans="12:12">
      <c r="L405" s="5"/>
    </row>
    <row r="406" spans="12:12">
      <c r="L406" s="5"/>
    </row>
    <row r="407" spans="12:12">
      <c r="L407" s="5"/>
    </row>
    <row r="408" spans="12:12">
      <c r="L408" s="5"/>
    </row>
    <row r="409" spans="12:12">
      <c r="L409" s="5"/>
    </row>
    <row r="410" spans="12:12">
      <c r="L410" s="5"/>
    </row>
    <row r="411" spans="12:12">
      <c r="L411" s="5"/>
    </row>
    <row r="412" spans="12:12">
      <c r="L412" s="5"/>
    </row>
    <row r="413" spans="12:12">
      <c r="L413" s="5"/>
    </row>
    <row r="414" spans="12:12">
      <c r="L414" s="5"/>
    </row>
    <row r="415" spans="12:12">
      <c r="L415" s="5"/>
    </row>
    <row r="416" spans="12:12">
      <c r="L416" s="5"/>
    </row>
    <row r="417" spans="12:12">
      <c r="L417" s="5"/>
    </row>
    <row r="418" spans="12:12">
      <c r="L418" s="5"/>
    </row>
    <row r="419" spans="12:12">
      <c r="L419" s="5"/>
    </row>
    <row r="420" spans="12:12">
      <c r="L420" s="5"/>
    </row>
    <row r="421" spans="12:12">
      <c r="L421" s="5"/>
    </row>
    <row r="422" spans="12:12">
      <c r="L422" s="5"/>
    </row>
    <row r="423" spans="12:12">
      <c r="L423" s="5"/>
    </row>
    <row r="424" spans="12:12">
      <c r="L424" s="5"/>
    </row>
    <row r="425" spans="12:12">
      <c r="L425" s="5"/>
    </row>
    <row r="426" spans="12:12">
      <c r="L426" s="5"/>
    </row>
    <row r="427" spans="12:12">
      <c r="L427" s="5"/>
    </row>
    <row r="428" spans="12:12">
      <c r="L428" s="5"/>
    </row>
    <row r="429" spans="12:12">
      <c r="L429" s="5"/>
    </row>
    <row r="430" spans="12:12">
      <c r="L430" s="5"/>
    </row>
    <row r="431" spans="12:12">
      <c r="L431" s="5"/>
    </row>
    <row r="432" spans="12:12">
      <c r="L432" s="5"/>
    </row>
    <row r="433" spans="12:12">
      <c r="L433" s="5"/>
    </row>
    <row r="434" spans="12:12">
      <c r="L434" s="5"/>
    </row>
    <row r="435" spans="12:12">
      <c r="L435" s="5"/>
    </row>
    <row r="436" spans="12:12">
      <c r="L436" s="5"/>
    </row>
    <row r="437" spans="12:12">
      <c r="L437" s="5"/>
    </row>
    <row r="438" spans="12:12">
      <c r="L438" s="5"/>
    </row>
    <row r="439" spans="12:12">
      <c r="L439" s="5"/>
    </row>
    <row r="440" spans="12:12">
      <c r="L440" s="5"/>
    </row>
    <row r="441" spans="12:12">
      <c r="L441" s="5"/>
    </row>
    <row r="442" spans="12:12">
      <c r="L442" s="5"/>
    </row>
    <row r="443" spans="12:12">
      <c r="L443" s="5"/>
    </row>
    <row r="444" spans="12:12">
      <c r="L444" s="5"/>
    </row>
    <row r="445" spans="12:12">
      <c r="L445" s="5"/>
    </row>
    <row r="446" spans="12:12">
      <c r="L446" s="5"/>
    </row>
    <row r="447" spans="12:12">
      <c r="L447" s="5"/>
    </row>
    <row r="448" spans="12:12">
      <c r="L448" s="5"/>
    </row>
    <row r="449" spans="12:12">
      <c r="L449" s="5"/>
    </row>
    <row r="450" spans="12:12">
      <c r="L450" s="5"/>
    </row>
    <row r="451" spans="12:12">
      <c r="L451" s="5"/>
    </row>
    <row r="452" spans="12:12">
      <c r="L452" s="5"/>
    </row>
    <row r="453" spans="12:12">
      <c r="L453" s="5"/>
    </row>
    <row r="454" spans="12:12">
      <c r="L454" s="5"/>
    </row>
    <row r="455" spans="12:12">
      <c r="L455" s="5"/>
    </row>
    <row r="456" spans="12:12">
      <c r="L456" s="5"/>
    </row>
    <row r="457" spans="12:12">
      <c r="L457" s="5"/>
    </row>
    <row r="458" spans="12:12">
      <c r="L458" s="5"/>
    </row>
    <row r="459" spans="12:12">
      <c r="L459" s="5"/>
    </row>
    <row r="460" spans="12:12">
      <c r="L460" s="5"/>
    </row>
    <row r="461" spans="12:12">
      <c r="L461" s="5"/>
    </row>
    <row r="462" spans="12:12">
      <c r="L462" s="5"/>
    </row>
    <row r="463" spans="12:12">
      <c r="L463" s="5"/>
    </row>
    <row r="464" spans="12:12">
      <c r="L464" s="5"/>
    </row>
    <row r="465" spans="12:12">
      <c r="L465" s="5"/>
    </row>
    <row r="466" spans="12:12">
      <c r="L466" s="5"/>
    </row>
    <row r="467" spans="12:12">
      <c r="L467" s="5"/>
    </row>
    <row r="468" spans="12:12">
      <c r="L468" s="5"/>
    </row>
    <row r="469" spans="12:12">
      <c r="L469" s="5"/>
    </row>
    <row r="470" spans="12:12">
      <c r="L470" s="5"/>
    </row>
    <row r="471" spans="12:12">
      <c r="L471" s="5"/>
    </row>
    <row r="472" spans="12:12">
      <c r="L472" s="5"/>
    </row>
    <row r="473" spans="12:12">
      <c r="L473" s="5"/>
    </row>
    <row r="474" spans="12:12">
      <c r="L474" s="5"/>
    </row>
    <row r="475" spans="12:12">
      <c r="L475" s="5"/>
    </row>
    <row r="476" spans="12:12">
      <c r="L476" s="5"/>
    </row>
    <row r="477" spans="12:12">
      <c r="L477" s="5"/>
    </row>
    <row r="478" spans="12:12">
      <c r="L478" s="5"/>
    </row>
    <row r="479" spans="12:12">
      <c r="L479" s="5"/>
    </row>
    <row r="480" spans="12:12">
      <c r="L480" s="5"/>
    </row>
    <row r="481" spans="12:12">
      <c r="L481" s="5"/>
    </row>
    <row r="482" spans="12:12">
      <c r="L482" s="5"/>
    </row>
    <row r="483" spans="12:12">
      <c r="L483" s="5"/>
    </row>
    <row r="484" spans="12:12">
      <c r="L484" s="5"/>
    </row>
    <row r="485" spans="12:12">
      <c r="L485" s="5"/>
    </row>
    <row r="486" spans="12:12">
      <c r="L486" s="5"/>
    </row>
    <row r="487" spans="12:12">
      <c r="L487" s="5"/>
    </row>
    <row r="488" spans="12:12">
      <c r="L488" s="5"/>
    </row>
    <row r="489" spans="12:12">
      <c r="L489" s="5"/>
    </row>
    <row r="490" spans="12:12">
      <c r="L490" s="5"/>
    </row>
    <row r="491" spans="12:12">
      <c r="L491" s="5"/>
    </row>
    <row r="492" spans="12:12">
      <c r="L492" s="5"/>
    </row>
    <row r="493" spans="12:12">
      <c r="L493" s="5"/>
    </row>
    <row r="494" spans="12:12">
      <c r="L494" s="5"/>
    </row>
    <row r="495" spans="12:12">
      <c r="L495" s="5"/>
    </row>
  </sheetData>
  <mergeCells count="1">
    <mergeCell ref="A1:M1"/>
  </mergeCells>
  <conditionalFormatting sqref="I4:I495">
    <cfRule type="expression" dxfId="15" priority="1">
      <formula>OR($I4="Blocked",$I4="Needs Action")</formula>
    </cfRule>
    <cfRule type="expression" dxfId="14" priority="2">
      <formula>OR($I4="Waiting on Others",$I4="Pending",$I4="Under Review")</formula>
    </cfRule>
    <cfRule type="expression" dxfId="13" priority="3">
      <formula>OR($I4="In Progress",$I4="Starts 20 May")</formula>
    </cfRule>
    <cfRule type="expression" dxfId="12" priority="4">
      <formula>OR($I4="Complete",$I4="Ready",$I4="Complete / Under Review")</formula>
    </cfRule>
  </conditionalFormatting>
  <conditionalFormatting sqref="J4:J495">
    <cfRule type="expression" dxfId="11" priority="5">
      <formula>$J4="No"</formula>
    </cfRule>
  </conditionalFormatting>
  <hyperlinks>
    <hyperlink ref="E4" r:id="rId1" display="https://cochranecollaboration.sharepoint.com/:f:/r/sites/EPM-EPRI/Shared%20Documents/AI%20Methods%20Group%20(Shared%20folder)/2026_AI%20platform%20study%20(Shared%20folder)/AI%20Pilot_Reviews/0%20Info%20Sharing%20with%20Review%20Teams%20(External)/General%20Information?csf=1&amp;web=1&amp;e=3ggmcN" xr:uid="{44EDCCE7-78CA-44EF-A408-7D1CC87EF387}"/>
    <hyperlink ref="E5" r:id="rId2" display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CESAR-protocol-0526-OSF.pdf?csf=1&amp;web=1&amp;e=HDfaea" xr:uid="{4D245631-9B54-4188-8C22-F90CA3C66665}"/>
    <hyperlink ref="E6" r:id="rId3" display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Review-teams-onboarding_kickoff-combo.key.pdf?csf=1&amp;web=1&amp;e=3fpXvx" xr:uid="{12CF12A3-C99F-4AAD-995C-CEDBC2F69E18}"/>
    <hyperlink ref="E7" r:id="rId4" display="https://cochranecollaboration.sharepoint.com/:x:/r/sites/EPM-EPRI/Shared%20Documents/AI%20Methods%20Group%20(Shared%20folder)/2026_AI%20platform%20study%20(Shared%20folder)/AI%20Pilot_Reviews/0%20Info%20Sharing%20with%20Review%20Teams%20(External)/General%20Information/00_Review%20Teams_Index%20Sheet.xlsx?d=w586bb761a443432fa57075693a0c1ed1&amp;csf=1&amp;web=1&amp;e=Yzscnq" xr:uid="{B3DC6AC3-6B89-4236-B00F-4E880E238F57}"/>
    <hyperlink ref="E8" r:id="rId5" xr:uid="{253C13CB-3848-4C92-95FB-B710178380F3}"/>
  </hyperlinks>
  <pageMargins left="0.7" right="0.7" top="0.75" bottom="0.75" header="0.3" footer="0.3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A00-000000000000}">
          <x14:formula1>
            <xm:f>Lists!$A$4:$A$18</xm:f>
          </x14:formula1>
          <xm:sqref>I4:I495</xm:sqref>
        </x14:dataValidation>
        <x14:dataValidation type="list" xr:uid="{00000000-0002-0000-0A00-000001000000}">
          <x14:formula1>
            <xm:f>Lists!$C$4:$C$8</xm:f>
          </x14:formula1>
          <xm:sqref>G4:G495</xm:sqref>
        </x14:dataValidation>
        <x14:dataValidation type="list" xr:uid="{00000000-0002-0000-0A00-000002000000}">
          <x14:formula1>
            <xm:f>Lists!$E$4:$E$5</xm:f>
          </x14:formula1>
          <xm:sqref>J4:J495</xm:sqref>
        </x14:dataValidation>
        <x14:dataValidation type="list" xr:uid="{00000000-0002-0000-0A00-000003000000}">
          <x14:formula1>
            <xm:f>Lists!$I$4:$I$12</xm:f>
          </x14:formula1>
          <xm:sqref>D4:D495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498"/>
  <sheetViews>
    <sheetView topLeftCell="G1" workbookViewId="0">
      <selection activeCell="P12" sqref="P12"/>
    </sheetView>
  </sheetViews>
  <sheetFormatPr defaultRowHeight="14"/>
  <cols>
    <col min="1" max="1" width="18" customWidth="1"/>
    <col min="2" max="2" width="14" customWidth="1"/>
    <col min="3" max="5" width="16" customWidth="1"/>
    <col min="6" max="7" width="38" customWidth="1"/>
    <col min="8" max="12" width="16" customWidth="1"/>
    <col min="13" max="15" width="14" customWidth="1"/>
    <col min="16" max="16" width="38" customWidth="1"/>
  </cols>
  <sheetData>
    <row r="1" spans="1:16" ht="20">
      <c r="A1" s="7" t="s">
        <v>251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3" spans="1:16">
      <c r="A3" s="1" t="s">
        <v>252</v>
      </c>
      <c r="B3" s="1" t="s">
        <v>221</v>
      </c>
      <c r="C3" s="1" t="s">
        <v>253</v>
      </c>
      <c r="D3" s="1" t="s">
        <v>254</v>
      </c>
      <c r="E3" s="1" t="s">
        <v>255</v>
      </c>
      <c r="F3" s="1" t="s">
        <v>256</v>
      </c>
      <c r="G3" s="1" t="s">
        <v>257</v>
      </c>
      <c r="H3" s="1" t="s">
        <v>212</v>
      </c>
      <c r="I3" s="1" t="s">
        <v>31</v>
      </c>
      <c r="J3" s="1" t="s">
        <v>237</v>
      </c>
      <c r="K3" s="1" t="s">
        <v>238</v>
      </c>
      <c r="L3" s="1" t="s">
        <v>258</v>
      </c>
      <c r="M3" s="1" t="s">
        <v>117</v>
      </c>
      <c r="N3" s="1" t="s">
        <v>118</v>
      </c>
      <c r="O3" s="1" t="s">
        <v>17</v>
      </c>
      <c r="P3" s="1" t="s">
        <v>18</v>
      </c>
    </row>
    <row r="4" spans="1:16">
      <c r="A4" s="2" t="s">
        <v>259</v>
      </c>
      <c r="B4" s="4">
        <v>46157</v>
      </c>
      <c r="C4" s="2" t="s">
        <v>72</v>
      </c>
      <c r="D4" s="2" t="s">
        <v>72</v>
      </c>
      <c r="E4" s="2" t="s">
        <v>1065</v>
      </c>
      <c r="F4" s="2" t="s">
        <v>1066</v>
      </c>
      <c r="G4" s="2" t="s">
        <v>1067</v>
      </c>
      <c r="H4" s="2" t="s">
        <v>624</v>
      </c>
      <c r="I4" s="2" t="s">
        <v>102</v>
      </c>
      <c r="J4" s="2" t="s">
        <v>247</v>
      </c>
      <c r="K4" s="2" t="s">
        <v>247</v>
      </c>
      <c r="L4" s="2" t="s">
        <v>1068</v>
      </c>
      <c r="M4" s="2" t="s">
        <v>46</v>
      </c>
      <c r="N4" s="2">
        <v>1</v>
      </c>
      <c r="O4" s="4">
        <v>46156</v>
      </c>
      <c r="P4" s="2" t="s">
        <v>1069</v>
      </c>
    </row>
    <row r="5" spans="1:16" ht="42">
      <c r="A5" s="2" t="s">
        <v>260</v>
      </c>
      <c r="B5" s="4">
        <v>46160</v>
      </c>
      <c r="C5" s="2" t="s">
        <v>72</v>
      </c>
      <c r="D5" s="2" t="s">
        <v>72</v>
      </c>
      <c r="E5" s="2" t="s">
        <v>1070</v>
      </c>
      <c r="F5" s="2" t="s">
        <v>1071</v>
      </c>
      <c r="G5" s="2" t="s">
        <v>1091</v>
      </c>
      <c r="H5" s="2" t="s">
        <v>169</v>
      </c>
      <c r="I5" s="2" t="s">
        <v>800</v>
      </c>
      <c r="J5" s="2" t="s">
        <v>247</v>
      </c>
      <c r="K5" s="2" t="s">
        <v>54</v>
      </c>
      <c r="L5" s="2" t="s">
        <v>1068</v>
      </c>
      <c r="M5" s="2" t="s">
        <v>46</v>
      </c>
      <c r="N5" s="2">
        <v>2</v>
      </c>
      <c r="O5" s="4">
        <v>46156</v>
      </c>
      <c r="P5" s="2" t="s">
        <v>1072</v>
      </c>
    </row>
    <row r="6" spans="1:16" ht="42">
      <c r="A6" s="2" t="s">
        <v>1073</v>
      </c>
      <c r="B6" s="4">
        <v>46161</v>
      </c>
      <c r="C6" s="2" t="s">
        <v>72</v>
      </c>
      <c r="D6" s="2" t="s">
        <v>72</v>
      </c>
      <c r="E6" s="2" t="s">
        <v>1075</v>
      </c>
      <c r="F6" s="2" t="s">
        <v>1076</v>
      </c>
      <c r="G6" s="2" t="s">
        <v>1092</v>
      </c>
      <c r="H6" s="2" t="s">
        <v>169</v>
      </c>
      <c r="I6" s="2" t="s">
        <v>800</v>
      </c>
      <c r="J6" s="2" t="s">
        <v>518</v>
      </c>
      <c r="K6" s="2" t="s">
        <v>54</v>
      </c>
      <c r="L6" s="2" t="s">
        <v>1068</v>
      </c>
      <c r="M6" s="2" t="s">
        <v>46</v>
      </c>
      <c r="N6" s="2">
        <v>4</v>
      </c>
      <c r="O6" s="4">
        <v>46156</v>
      </c>
      <c r="P6" s="2" t="s">
        <v>1077</v>
      </c>
    </row>
    <row r="7" spans="1:16" ht="42">
      <c r="A7" s="2" t="s">
        <v>1074</v>
      </c>
      <c r="B7" s="4">
        <v>46161</v>
      </c>
      <c r="C7" s="2" t="s">
        <v>72</v>
      </c>
      <c r="D7" s="2" t="s">
        <v>72</v>
      </c>
      <c r="E7" s="2" t="s">
        <v>1079</v>
      </c>
      <c r="F7" s="2" t="s">
        <v>1080</v>
      </c>
      <c r="G7" s="2" t="s">
        <v>1081</v>
      </c>
      <c r="H7" s="2" t="s">
        <v>169</v>
      </c>
      <c r="I7" s="2" t="s">
        <v>800</v>
      </c>
      <c r="J7" s="2" t="s">
        <v>520</v>
      </c>
      <c r="K7" s="2" t="s">
        <v>54</v>
      </c>
      <c r="L7" s="2" t="s">
        <v>1068</v>
      </c>
      <c r="M7" s="2" t="s">
        <v>46</v>
      </c>
      <c r="N7" s="2">
        <v>5</v>
      </c>
      <c r="O7" s="4">
        <v>46156</v>
      </c>
      <c r="P7" s="2" t="s">
        <v>1077</v>
      </c>
    </row>
    <row r="8" spans="1:16" ht="42">
      <c r="A8" s="2" t="s">
        <v>1078</v>
      </c>
      <c r="B8" s="4">
        <v>46161</v>
      </c>
      <c r="C8" s="2" t="s">
        <v>1083</v>
      </c>
      <c r="D8" s="2" t="s">
        <v>1083</v>
      </c>
      <c r="E8" s="2" t="s">
        <v>1084</v>
      </c>
      <c r="F8" s="2" t="s">
        <v>1085</v>
      </c>
      <c r="G8" s="2" t="s">
        <v>1093</v>
      </c>
      <c r="H8" s="2" t="s">
        <v>1054</v>
      </c>
      <c r="I8" s="2" t="s">
        <v>52</v>
      </c>
      <c r="J8" s="2" t="s">
        <v>247</v>
      </c>
      <c r="K8" s="2" t="s">
        <v>1055</v>
      </c>
      <c r="L8" s="2" t="s">
        <v>1053</v>
      </c>
      <c r="M8" s="2" t="s">
        <v>46</v>
      </c>
      <c r="N8" s="2">
        <v>6</v>
      </c>
      <c r="O8" s="4">
        <v>46156</v>
      </c>
      <c r="P8" s="2" t="s">
        <v>1086</v>
      </c>
    </row>
    <row r="9" spans="1:16" ht="42">
      <c r="A9" s="2" t="s">
        <v>1082</v>
      </c>
      <c r="B9" s="4">
        <v>46163</v>
      </c>
      <c r="C9" s="2" t="s">
        <v>72</v>
      </c>
      <c r="D9" s="2" t="s">
        <v>72</v>
      </c>
      <c r="E9" s="2" t="s">
        <v>1087</v>
      </c>
      <c r="F9" s="2" t="s">
        <v>1088</v>
      </c>
      <c r="G9" s="2" t="s">
        <v>1094</v>
      </c>
      <c r="H9" s="2" t="s">
        <v>1089</v>
      </c>
      <c r="I9" s="2" t="s">
        <v>800</v>
      </c>
      <c r="J9" s="2" t="s">
        <v>247</v>
      </c>
      <c r="K9" s="2" t="s">
        <v>247</v>
      </c>
      <c r="L9" s="2" t="s">
        <v>1068</v>
      </c>
      <c r="M9" s="2" t="s">
        <v>46</v>
      </c>
      <c r="N9" s="2">
        <v>8</v>
      </c>
      <c r="O9" s="4">
        <v>46156</v>
      </c>
      <c r="P9" s="2" t="s">
        <v>1090</v>
      </c>
    </row>
    <row r="10" spans="1:16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4"/>
      <c r="P10" s="2"/>
    </row>
    <row r="11" spans="1:16">
      <c r="A11" s="2"/>
      <c r="B11" s="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4"/>
      <c r="P11" s="2"/>
    </row>
    <row r="12" spans="1:16">
      <c r="A12" s="2"/>
      <c r="B12" s="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4"/>
      <c r="P12" s="2"/>
    </row>
    <row r="13" spans="1:16">
      <c r="A13" s="2"/>
      <c r="B13" s="4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4"/>
      <c r="P13" s="2"/>
    </row>
    <row r="14" spans="1:16">
      <c r="A14" s="2"/>
      <c r="B14" s="4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4"/>
      <c r="P14" s="2"/>
    </row>
    <row r="15" spans="1:16">
      <c r="A15" s="2"/>
      <c r="B15" s="4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4"/>
      <c r="P15" s="2"/>
    </row>
    <row r="16" spans="1:16">
      <c r="A16" s="2"/>
      <c r="B16" s="4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4"/>
      <c r="P16" s="2"/>
    </row>
    <row r="17" spans="1:16">
      <c r="A17" s="2"/>
      <c r="B17" s="4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4"/>
      <c r="P17" s="2"/>
    </row>
    <row r="18" spans="1:16">
      <c r="A18" s="2"/>
      <c r="B18" s="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4"/>
      <c r="P18" s="2"/>
    </row>
    <row r="19" spans="1:16">
      <c r="A19" s="2"/>
      <c r="B19" s="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4"/>
      <c r="P19" s="2"/>
    </row>
    <row r="20" spans="1:16">
      <c r="A20" s="2"/>
      <c r="B20" s="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4"/>
      <c r="P20" s="2"/>
    </row>
    <row r="21" spans="1:16">
      <c r="A21" s="2"/>
      <c r="B21" s="4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4"/>
      <c r="P21" s="2"/>
    </row>
    <row r="22" spans="1:16">
      <c r="A22" s="2"/>
      <c r="B22" s="4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4"/>
      <c r="P22" s="2"/>
    </row>
    <row r="23" spans="1:16">
      <c r="A23" s="2"/>
      <c r="B23" s="4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4"/>
      <c r="P23" s="2"/>
    </row>
    <row r="24" spans="1:16">
      <c r="A24" s="2"/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4"/>
      <c r="P24" s="2"/>
    </row>
    <row r="25" spans="1:16">
      <c r="A25" s="2"/>
      <c r="B25" s="4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4"/>
      <c r="P25" s="2"/>
    </row>
    <row r="26" spans="1:16">
      <c r="A26" s="2"/>
      <c r="B26" s="4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4"/>
      <c r="P26" s="2"/>
    </row>
    <row r="27" spans="1:16">
      <c r="A27" s="2"/>
      <c r="B27" s="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4"/>
      <c r="P27" s="2"/>
    </row>
    <row r="28" spans="1:16">
      <c r="A28" s="2"/>
      <c r="B28" s="4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4"/>
      <c r="P28" s="2"/>
    </row>
    <row r="29" spans="1:16">
      <c r="A29" s="2"/>
      <c r="B29" s="4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4"/>
      <c r="P29" s="2"/>
    </row>
    <row r="30" spans="1:16">
      <c r="A30" s="2"/>
      <c r="B30" s="4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4"/>
      <c r="P30" s="2"/>
    </row>
    <row r="31" spans="1:16">
      <c r="A31" s="2"/>
      <c r="B31" s="4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4"/>
      <c r="P31" s="2"/>
    </row>
    <row r="32" spans="1:16">
      <c r="A32" s="2"/>
      <c r="B32" s="4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4"/>
      <c r="P32" s="2"/>
    </row>
    <row r="33" spans="1:16">
      <c r="A33" s="2"/>
      <c r="B33" s="4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4"/>
      <c r="P33" s="2"/>
    </row>
    <row r="34" spans="1:16">
      <c r="A34" s="2"/>
      <c r="B34" s="4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4"/>
      <c r="P34" s="2"/>
    </row>
    <row r="35" spans="1:16">
      <c r="A35" s="2"/>
      <c r="B35" s="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4"/>
      <c r="P35" s="2"/>
    </row>
    <row r="36" spans="1:16">
      <c r="A36" s="2"/>
      <c r="B36" s="4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4"/>
      <c r="P36" s="2"/>
    </row>
    <row r="37" spans="1:16">
      <c r="A37" s="2"/>
      <c r="B37" s="4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4"/>
      <c r="P37" s="2"/>
    </row>
    <row r="38" spans="1:16">
      <c r="A38" s="2"/>
      <c r="B38" s="4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4"/>
      <c r="P38" s="2"/>
    </row>
    <row r="39" spans="1:16">
      <c r="A39" s="2"/>
      <c r="B39" s="4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4"/>
      <c r="P39" s="2"/>
    </row>
    <row r="40" spans="1:16">
      <c r="A40" s="2"/>
      <c r="B40" s="4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4"/>
      <c r="P40" s="2"/>
    </row>
    <row r="41" spans="1:16">
      <c r="A41" s="2"/>
      <c r="B41" s="4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4"/>
      <c r="P41" s="2"/>
    </row>
    <row r="42" spans="1:16">
      <c r="A42" s="2"/>
      <c r="B42" s="4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4"/>
      <c r="P42" s="2"/>
    </row>
    <row r="43" spans="1:16">
      <c r="A43" s="2"/>
      <c r="B43" s="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4"/>
      <c r="P43" s="2"/>
    </row>
    <row r="44" spans="1:16">
      <c r="A44" s="2"/>
      <c r="B44" s="4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4"/>
      <c r="P44" s="2"/>
    </row>
    <row r="45" spans="1:16">
      <c r="A45" s="2"/>
      <c r="B45" s="4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4"/>
      <c r="P45" s="2"/>
    </row>
    <row r="46" spans="1:16">
      <c r="A46" s="2"/>
      <c r="B46" s="4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4"/>
      <c r="P46" s="2"/>
    </row>
    <row r="47" spans="1:16">
      <c r="A47" s="2"/>
      <c r="B47" s="4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4"/>
      <c r="P47" s="2"/>
    </row>
    <row r="48" spans="1:16">
      <c r="A48" s="2"/>
      <c r="B48" s="4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4"/>
      <c r="P48" s="2"/>
    </row>
    <row r="49" spans="1:16">
      <c r="A49" s="2"/>
      <c r="B49" s="4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4"/>
      <c r="P49" s="2"/>
    </row>
    <row r="50" spans="1:16">
      <c r="A50" s="2"/>
      <c r="B50" s="4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4"/>
      <c r="P50" s="2"/>
    </row>
    <row r="51" spans="1:16">
      <c r="A51" s="2"/>
      <c r="B51" s="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4"/>
      <c r="P51" s="2"/>
    </row>
    <row r="52" spans="1:16">
      <c r="B52" s="5"/>
      <c r="O52" s="5"/>
    </row>
    <row r="53" spans="1:16">
      <c r="B53" s="5"/>
      <c r="O53" s="5"/>
    </row>
    <row r="54" spans="1:16">
      <c r="B54" s="5"/>
      <c r="O54" s="5"/>
    </row>
    <row r="55" spans="1:16">
      <c r="B55" s="5"/>
      <c r="O55" s="5"/>
    </row>
    <row r="56" spans="1:16">
      <c r="B56" s="5"/>
      <c r="O56" s="5"/>
    </row>
    <row r="57" spans="1:16">
      <c r="B57" s="5"/>
      <c r="O57" s="5"/>
    </row>
    <row r="58" spans="1:16">
      <c r="B58" s="5"/>
      <c r="O58" s="5"/>
    </row>
    <row r="59" spans="1:16">
      <c r="B59" s="5"/>
      <c r="O59" s="5"/>
    </row>
    <row r="60" spans="1:16">
      <c r="B60" s="5"/>
      <c r="O60" s="5"/>
    </row>
    <row r="61" spans="1:16">
      <c r="B61" s="5"/>
      <c r="O61" s="5"/>
    </row>
    <row r="62" spans="1:16">
      <c r="B62" s="5"/>
      <c r="O62" s="5"/>
    </row>
    <row r="63" spans="1:16">
      <c r="B63" s="5"/>
      <c r="O63" s="5"/>
    </row>
    <row r="64" spans="1:16">
      <c r="B64" s="5"/>
      <c r="O64" s="5"/>
    </row>
    <row r="65" spans="2:15">
      <c r="B65" s="5"/>
      <c r="O65" s="5"/>
    </row>
    <row r="66" spans="2:15">
      <c r="B66" s="5"/>
      <c r="O66" s="5"/>
    </row>
    <row r="67" spans="2:15">
      <c r="B67" s="5"/>
      <c r="O67" s="5"/>
    </row>
    <row r="68" spans="2:15">
      <c r="B68" s="5"/>
      <c r="O68" s="5"/>
    </row>
    <row r="69" spans="2:15">
      <c r="B69" s="5"/>
      <c r="O69" s="5"/>
    </row>
    <row r="70" spans="2:15">
      <c r="B70" s="5"/>
      <c r="O70" s="5"/>
    </row>
    <row r="71" spans="2:15">
      <c r="B71" s="5"/>
      <c r="O71" s="5"/>
    </row>
    <row r="72" spans="2:15">
      <c r="B72" s="5"/>
      <c r="O72" s="5"/>
    </row>
    <row r="73" spans="2:15">
      <c r="B73" s="5"/>
      <c r="O73" s="5"/>
    </row>
    <row r="74" spans="2:15">
      <c r="B74" s="5"/>
      <c r="O74" s="5"/>
    </row>
    <row r="75" spans="2:15">
      <c r="B75" s="5"/>
      <c r="O75" s="5"/>
    </row>
    <row r="76" spans="2:15">
      <c r="B76" s="5"/>
      <c r="O76" s="5"/>
    </row>
    <row r="77" spans="2:15">
      <c r="B77" s="5"/>
      <c r="O77" s="5"/>
    </row>
    <row r="78" spans="2:15">
      <c r="B78" s="5"/>
      <c r="O78" s="5"/>
    </row>
    <row r="79" spans="2:15">
      <c r="B79" s="5"/>
      <c r="O79" s="5"/>
    </row>
    <row r="80" spans="2:15">
      <c r="B80" s="5"/>
      <c r="O80" s="5"/>
    </row>
    <row r="81" spans="2:15">
      <c r="B81" s="5"/>
      <c r="O81" s="5"/>
    </row>
    <row r="82" spans="2:15">
      <c r="B82" s="5"/>
      <c r="O82" s="5"/>
    </row>
    <row r="83" spans="2:15">
      <c r="B83" s="5"/>
      <c r="O83" s="5"/>
    </row>
    <row r="84" spans="2:15">
      <c r="B84" s="5"/>
      <c r="O84" s="5"/>
    </row>
    <row r="85" spans="2:15">
      <c r="B85" s="5"/>
      <c r="O85" s="5"/>
    </row>
    <row r="86" spans="2:15">
      <c r="B86" s="5"/>
      <c r="O86" s="5"/>
    </row>
    <row r="87" spans="2:15">
      <c r="B87" s="5"/>
      <c r="O87" s="5"/>
    </row>
    <row r="88" spans="2:15">
      <c r="B88" s="5"/>
      <c r="O88" s="5"/>
    </row>
    <row r="89" spans="2:15">
      <c r="B89" s="5"/>
      <c r="O89" s="5"/>
    </row>
    <row r="90" spans="2:15">
      <c r="B90" s="5"/>
      <c r="O90" s="5"/>
    </row>
    <row r="91" spans="2:15">
      <c r="B91" s="5"/>
      <c r="O91" s="5"/>
    </row>
    <row r="92" spans="2:15">
      <c r="B92" s="5"/>
      <c r="O92" s="5"/>
    </row>
    <row r="93" spans="2:15">
      <c r="B93" s="5"/>
      <c r="O93" s="5"/>
    </row>
    <row r="94" spans="2:15">
      <c r="B94" s="5"/>
      <c r="O94" s="5"/>
    </row>
    <row r="95" spans="2:15">
      <c r="B95" s="5"/>
      <c r="O95" s="5"/>
    </row>
    <row r="96" spans="2:15">
      <c r="B96" s="5"/>
      <c r="O96" s="5"/>
    </row>
    <row r="97" spans="2:15">
      <c r="B97" s="5"/>
      <c r="O97" s="5"/>
    </row>
    <row r="98" spans="2:15">
      <c r="B98" s="5"/>
      <c r="O98" s="5"/>
    </row>
    <row r="99" spans="2:15">
      <c r="B99" s="5"/>
      <c r="O99" s="5"/>
    </row>
    <row r="100" spans="2:15">
      <c r="B100" s="5"/>
      <c r="O100" s="5"/>
    </row>
    <row r="101" spans="2:15">
      <c r="B101" s="5"/>
      <c r="O101" s="5"/>
    </row>
    <row r="102" spans="2:15">
      <c r="B102" s="5"/>
      <c r="O102" s="5"/>
    </row>
    <row r="103" spans="2:15">
      <c r="B103" s="5"/>
      <c r="O103" s="5"/>
    </row>
    <row r="104" spans="2:15">
      <c r="B104" s="5"/>
      <c r="O104" s="5"/>
    </row>
    <row r="105" spans="2:15">
      <c r="B105" s="5"/>
      <c r="O105" s="5"/>
    </row>
    <row r="106" spans="2:15">
      <c r="B106" s="5"/>
      <c r="O106" s="5"/>
    </row>
    <row r="107" spans="2:15">
      <c r="B107" s="5"/>
      <c r="O107" s="5"/>
    </row>
    <row r="108" spans="2:15">
      <c r="B108" s="5"/>
      <c r="O108" s="5"/>
    </row>
    <row r="109" spans="2:15">
      <c r="B109" s="5"/>
      <c r="O109" s="5"/>
    </row>
    <row r="110" spans="2:15">
      <c r="B110" s="5"/>
      <c r="O110" s="5"/>
    </row>
    <row r="111" spans="2:15">
      <c r="B111" s="5"/>
      <c r="O111" s="5"/>
    </row>
    <row r="112" spans="2:15">
      <c r="B112" s="5"/>
      <c r="O112" s="5"/>
    </row>
    <row r="113" spans="2:15">
      <c r="B113" s="5"/>
      <c r="O113" s="5"/>
    </row>
    <row r="114" spans="2:15">
      <c r="B114" s="5"/>
      <c r="O114" s="5"/>
    </row>
    <row r="115" spans="2:15">
      <c r="B115" s="5"/>
      <c r="O115" s="5"/>
    </row>
    <row r="116" spans="2:15">
      <c r="B116" s="5"/>
      <c r="O116" s="5"/>
    </row>
    <row r="117" spans="2:15">
      <c r="B117" s="5"/>
      <c r="O117" s="5"/>
    </row>
    <row r="118" spans="2:15">
      <c r="B118" s="5"/>
      <c r="O118" s="5"/>
    </row>
    <row r="119" spans="2:15">
      <c r="B119" s="5"/>
      <c r="O119" s="5"/>
    </row>
    <row r="120" spans="2:15">
      <c r="B120" s="5"/>
      <c r="O120" s="5"/>
    </row>
    <row r="121" spans="2:15">
      <c r="B121" s="5"/>
      <c r="O121" s="5"/>
    </row>
    <row r="122" spans="2:15">
      <c r="B122" s="5"/>
      <c r="O122" s="5"/>
    </row>
    <row r="123" spans="2:15">
      <c r="B123" s="5"/>
      <c r="O123" s="5"/>
    </row>
    <row r="124" spans="2:15">
      <c r="B124" s="5"/>
      <c r="O124" s="5"/>
    </row>
    <row r="125" spans="2:15">
      <c r="B125" s="5"/>
      <c r="O125" s="5"/>
    </row>
    <row r="126" spans="2:15">
      <c r="B126" s="5"/>
      <c r="O126" s="5"/>
    </row>
    <row r="127" spans="2:15">
      <c r="B127" s="5"/>
      <c r="O127" s="5"/>
    </row>
    <row r="128" spans="2:15">
      <c r="B128" s="5"/>
      <c r="O128" s="5"/>
    </row>
    <row r="129" spans="2:15">
      <c r="B129" s="5"/>
      <c r="O129" s="5"/>
    </row>
    <row r="130" spans="2:15">
      <c r="B130" s="5"/>
      <c r="O130" s="5"/>
    </row>
    <row r="131" spans="2:15">
      <c r="B131" s="5"/>
      <c r="O131" s="5"/>
    </row>
    <row r="132" spans="2:15">
      <c r="B132" s="5"/>
      <c r="O132" s="5"/>
    </row>
    <row r="133" spans="2:15">
      <c r="B133" s="5"/>
      <c r="O133" s="5"/>
    </row>
    <row r="134" spans="2:15">
      <c r="B134" s="5"/>
      <c r="O134" s="5"/>
    </row>
    <row r="135" spans="2:15">
      <c r="B135" s="5"/>
      <c r="O135" s="5"/>
    </row>
    <row r="136" spans="2:15">
      <c r="B136" s="5"/>
      <c r="O136" s="5"/>
    </row>
    <row r="137" spans="2:15">
      <c r="B137" s="5"/>
      <c r="O137" s="5"/>
    </row>
    <row r="138" spans="2:15">
      <c r="B138" s="5"/>
      <c r="O138" s="5"/>
    </row>
    <row r="139" spans="2:15">
      <c r="B139" s="5"/>
      <c r="O139" s="5"/>
    </row>
    <row r="140" spans="2:15">
      <c r="B140" s="5"/>
      <c r="O140" s="5"/>
    </row>
    <row r="141" spans="2:15">
      <c r="B141" s="5"/>
      <c r="O141" s="5"/>
    </row>
    <row r="142" spans="2:15">
      <c r="B142" s="5"/>
      <c r="O142" s="5"/>
    </row>
    <row r="143" spans="2:15">
      <c r="B143" s="5"/>
      <c r="O143" s="5"/>
    </row>
    <row r="144" spans="2:15">
      <c r="B144" s="5"/>
      <c r="O144" s="5"/>
    </row>
    <row r="145" spans="2:15">
      <c r="B145" s="5"/>
      <c r="O145" s="5"/>
    </row>
    <row r="146" spans="2:15">
      <c r="B146" s="5"/>
      <c r="O146" s="5"/>
    </row>
    <row r="147" spans="2:15">
      <c r="B147" s="5"/>
      <c r="O147" s="5"/>
    </row>
    <row r="148" spans="2:15">
      <c r="B148" s="5"/>
      <c r="O148" s="5"/>
    </row>
    <row r="149" spans="2:15">
      <c r="B149" s="5"/>
      <c r="O149" s="5"/>
    </row>
    <row r="150" spans="2:15">
      <c r="B150" s="5"/>
      <c r="O150" s="5"/>
    </row>
    <row r="151" spans="2:15">
      <c r="B151" s="5"/>
      <c r="O151" s="5"/>
    </row>
    <row r="152" spans="2:15">
      <c r="B152" s="5"/>
      <c r="O152" s="5"/>
    </row>
    <row r="153" spans="2:15">
      <c r="B153" s="5"/>
      <c r="O153" s="5"/>
    </row>
    <row r="154" spans="2:15">
      <c r="B154" s="5"/>
      <c r="O154" s="5"/>
    </row>
    <row r="155" spans="2:15">
      <c r="B155" s="5"/>
      <c r="O155" s="5"/>
    </row>
    <row r="156" spans="2:15">
      <c r="B156" s="5"/>
      <c r="O156" s="5"/>
    </row>
    <row r="157" spans="2:15">
      <c r="B157" s="5"/>
      <c r="O157" s="5"/>
    </row>
    <row r="158" spans="2:15">
      <c r="B158" s="5"/>
      <c r="O158" s="5"/>
    </row>
    <row r="159" spans="2:15">
      <c r="B159" s="5"/>
      <c r="O159" s="5"/>
    </row>
    <row r="160" spans="2:15">
      <c r="B160" s="5"/>
      <c r="O160" s="5"/>
    </row>
    <row r="161" spans="2:15">
      <c r="B161" s="5"/>
      <c r="O161" s="5"/>
    </row>
    <row r="162" spans="2:15">
      <c r="B162" s="5"/>
      <c r="O162" s="5"/>
    </row>
    <row r="163" spans="2:15">
      <c r="B163" s="5"/>
      <c r="O163" s="5"/>
    </row>
    <row r="164" spans="2:15">
      <c r="B164" s="5"/>
      <c r="O164" s="5"/>
    </row>
    <row r="165" spans="2:15">
      <c r="B165" s="5"/>
      <c r="O165" s="5"/>
    </row>
    <row r="166" spans="2:15">
      <c r="B166" s="5"/>
      <c r="O166" s="5"/>
    </row>
    <row r="167" spans="2:15">
      <c r="B167" s="5"/>
      <c r="O167" s="5"/>
    </row>
    <row r="168" spans="2:15">
      <c r="B168" s="5"/>
      <c r="O168" s="5"/>
    </row>
    <row r="169" spans="2:15">
      <c r="B169" s="5"/>
      <c r="O169" s="5"/>
    </row>
    <row r="170" spans="2:15">
      <c r="B170" s="5"/>
      <c r="O170" s="5"/>
    </row>
    <row r="171" spans="2:15">
      <c r="B171" s="5"/>
      <c r="O171" s="5"/>
    </row>
    <row r="172" spans="2:15">
      <c r="B172" s="5"/>
      <c r="O172" s="5"/>
    </row>
    <row r="173" spans="2:15">
      <c r="B173" s="5"/>
      <c r="O173" s="5"/>
    </row>
    <row r="174" spans="2:15">
      <c r="B174" s="5"/>
      <c r="O174" s="5"/>
    </row>
    <row r="175" spans="2:15">
      <c r="B175" s="5"/>
      <c r="O175" s="5"/>
    </row>
    <row r="176" spans="2:15">
      <c r="B176" s="5"/>
      <c r="O176" s="5"/>
    </row>
    <row r="177" spans="2:15">
      <c r="B177" s="5"/>
      <c r="O177" s="5"/>
    </row>
    <row r="178" spans="2:15">
      <c r="B178" s="5"/>
      <c r="O178" s="5"/>
    </row>
    <row r="179" spans="2:15">
      <c r="B179" s="5"/>
      <c r="O179" s="5"/>
    </row>
    <row r="180" spans="2:15">
      <c r="B180" s="5"/>
      <c r="O180" s="5"/>
    </row>
    <row r="181" spans="2:15">
      <c r="B181" s="5"/>
      <c r="O181" s="5"/>
    </row>
    <row r="182" spans="2:15">
      <c r="B182" s="5"/>
      <c r="O182" s="5"/>
    </row>
    <row r="183" spans="2:15">
      <c r="B183" s="5"/>
      <c r="O183" s="5"/>
    </row>
    <row r="184" spans="2:15">
      <c r="B184" s="5"/>
      <c r="O184" s="5"/>
    </row>
    <row r="185" spans="2:15">
      <c r="B185" s="5"/>
      <c r="O185" s="5"/>
    </row>
    <row r="186" spans="2:15">
      <c r="B186" s="5"/>
      <c r="O186" s="5"/>
    </row>
    <row r="187" spans="2:15">
      <c r="B187" s="5"/>
      <c r="O187" s="5"/>
    </row>
    <row r="188" spans="2:15">
      <c r="B188" s="5"/>
      <c r="O188" s="5"/>
    </row>
    <row r="189" spans="2:15">
      <c r="B189" s="5"/>
      <c r="O189" s="5"/>
    </row>
    <row r="190" spans="2:15">
      <c r="B190" s="5"/>
      <c r="O190" s="5"/>
    </row>
    <row r="191" spans="2:15">
      <c r="B191" s="5"/>
      <c r="O191" s="5"/>
    </row>
    <row r="192" spans="2:15">
      <c r="B192" s="5"/>
      <c r="O192" s="5"/>
    </row>
    <row r="193" spans="2:15">
      <c r="B193" s="5"/>
      <c r="O193" s="5"/>
    </row>
    <row r="194" spans="2:15">
      <c r="B194" s="5"/>
      <c r="O194" s="5"/>
    </row>
    <row r="195" spans="2:15">
      <c r="B195" s="5"/>
      <c r="O195" s="5"/>
    </row>
    <row r="196" spans="2:15">
      <c r="B196" s="5"/>
      <c r="O196" s="5"/>
    </row>
    <row r="197" spans="2:15">
      <c r="B197" s="5"/>
      <c r="O197" s="5"/>
    </row>
    <row r="198" spans="2:15">
      <c r="B198" s="5"/>
      <c r="O198" s="5"/>
    </row>
    <row r="199" spans="2:15">
      <c r="B199" s="5"/>
      <c r="O199" s="5"/>
    </row>
    <row r="200" spans="2:15">
      <c r="B200" s="5"/>
      <c r="O200" s="5"/>
    </row>
    <row r="201" spans="2:15">
      <c r="B201" s="5"/>
      <c r="O201" s="5"/>
    </row>
    <row r="202" spans="2:15">
      <c r="B202" s="5"/>
      <c r="O202" s="5"/>
    </row>
    <row r="203" spans="2:15">
      <c r="B203" s="5"/>
      <c r="O203" s="5"/>
    </row>
    <row r="204" spans="2:15">
      <c r="B204" s="5"/>
      <c r="O204" s="5"/>
    </row>
    <row r="205" spans="2:15">
      <c r="B205" s="5"/>
      <c r="O205" s="5"/>
    </row>
    <row r="206" spans="2:15">
      <c r="B206" s="5"/>
      <c r="O206" s="5"/>
    </row>
    <row r="207" spans="2:15">
      <c r="B207" s="5"/>
      <c r="O207" s="5"/>
    </row>
    <row r="208" spans="2:15">
      <c r="B208" s="5"/>
      <c r="O208" s="5"/>
    </row>
    <row r="209" spans="2:15">
      <c r="B209" s="5"/>
      <c r="O209" s="5"/>
    </row>
    <row r="210" spans="2:15">
      <c r="B210" s="5"/>
      <c r="O210" s="5"/>
    </row>
    <row r="211" spans="2:15">
      <c r="B211" s="5"/>
      <c r="O211" s="5"/>
    </row>
    <row r="212" spans="2:15">
      <c r="B212" s="5"/>
      <c r="O212" s="5"/>
    </row>
    <row r="213" spans="2:15">
      <c r="B213" s="5"/>
      <c r="O213" s="5"/>
    </row>
    <row r="214" spans="2:15">
      <c r="B214" s="5"/>
      <c r="O214" s="5"/>
    </row>
    <row r="215" spans="2:15">
      <c r="B215" s="5"/>
      <c r="O215" s="5"/>
    </row>
    <row r="216" spans="2:15">
      <c r="B216" s="5"/>
      <c r="O216" s="5"/>
    </row>
    <row r="217" spans="2:15">
      <c r="B217" s="5"/>
      <c r="O217" s="5"/>
    </row>
    <row r="218" spans="2:15">
      <c r="B218" s="5"/>
      <c r="O218" s="5"/>
    </row>
    <row r="219" spans="2:15">
      <c r="B219" s="5"/>
      <c r="O219" s="5"/>
    </row>
    <row r="220" spans="2:15">
      <c r="B220" s="5"/>
      <c r="O220" s="5"/>
    </row>
    <row r="221" spans="2:15">
      <c r="B221" s="5"/>
      <c r="O221" s="5"/>
    </row>
    <row r="222" spans="2:15">
      <c r="B222" s="5"/>
      <c r="O222" s="5"/>
    </row>
    <row r="223" spans="2:15">
      <c r="B223" s="5"/>
      <c r="O223" s="5"/>
    </row>
    <row r="224" spans="2:15">
      <c r="B224" s="5"/>
      <c r="O224" s="5"/>
    </row>
    <row r="225" spans="2:15">
      <c r="B225" s="5"/>
      <c r="O225" s="5"/>
    </row>
    <row r="226" spans="2:15">
      <c r="B226" s="5"/>
      <c r="O226" s="5"/>
    </row>
    <row r="227" spans="2:15">
      <c r="B227" s="5"/>
      <c r="O227" s="5"/>
    </row>
    <row r="228" spans="2:15">
      <c r="B228" s="5"/>
      <c r="O228" s="5"/>
    </row>
    <row r="229" spans="2:15">
      <c r="B229" s="5"/>
      <c r="O229" s="5"/>
    </row>
    <row r="230" spans="2:15">
      <c r="B230" s="5"/>
      <c r="O230" s="5"/>
    </row>
    <row r="231" spans="2:15">
      <c r="B231" s="5"/>
      <c r="O231" s="5"/>
    </row>
    <row r="232" spans="2:15">
      <c r="B232" s="5"/>
      <c r="O232" s="5"/>
    </row>
    <row r="233" spans="2:15">
      <c r="B233" s="5"/>
      <c r="O233" s="5"/>
    </row>
    <row r="234" spans="2:15">
      <c r="B234" s="5"/>
      <c r="O234" s="5"/>
    </row>
    <row r="235" spans="2:15">
      <c r="B235" s="5"/>
      <c r="O235" s="5"/>
    </row>
    <row r="236" spans="2:15">
      <c r="B236" s="5"/>
      <c r="O236" s="5"/>
    </row>
    <row r="237" spans="2:15">
      <c r="B237" s="5"/>
      <c r="O237" s="5"/>
    </row>
    <row r="238" spans="2:15">
      <c r="B238" s="5"/>
      <c r="O238" s="5"/>
    </row>
    <row r="239" spans="2:15">
      <c r="B239" s="5"/>
      <c r="O239" s="5"/>
    </row>
    <row r="240" spans="2:15">
      <c r="B240" s="5"/>
      <c r="O240" s="5"/>
    </row>
    <row r="241" spans="2:15">
      <c r="B241" s="5"/>
      <c r="O241" s="5"/>
    </row>
    <row r="242" spans="2:15">
      <c r="B242" s="5"/>
      <c r="O242" s="5"/>
    </row>
    <row r="243" spans="2:15">
      <c r="B243" s="5"/>
      <c r="O243" s="5"/>
    </row>
    <row r="244" spans="2:15">
      <c r="B244" s="5"/>
      <c r="O244" s="5"/>
    </row>
    <row r="245" spans="2:15">
      <c r="B245" s="5"/>
      <c r="O245" s="5"/>
    </row>
    <row r="246" spans="2:15">
      <c r="B246" s="5"/>
      <c r="O246" s="5"/>
    </row>
    <row r="247" spans="2:15">
      <c r="B247" s="5"/>
      <c r="O247" s="5"/>
    </row>
    <row r="248" spans="2:15">
      <c r="B248" s="5"/>
      <c r="O248" s="5"/>
    </row>
    <row r="249" spans="2:15">
      <c r="B249" s="5"/>
      <c r="O249" s="5"/>
    </row>
    <row r="250" spans="2:15">
      <c r="B250" s="5"/>
      <c r="O250" s="5"/>
    </row>
    <row r="251" spans="2:15">
      <c r="B251" s="5"/>
      <c r="O251" s="5"/>
    </row>
    <row r="252" spans="2:15">
      <c r="B252" s="5"/>
      <c r="O252" s="5"/>
    </row>
    <row r="253" spans="2:15">
      <c r="B253" s="5"/>
      <c r="O253" s="5"/>
    </row>
    <row r="254" spans="2:15">
      <c r="B254" s="5"/>
      <c r="O254" s="5"/>
    </row>
    <row r="255" spans="2:15">
      <c r="B255" s="5"/>
      <c r="O255" s="5"/>
    </row>
    <row r="256" spans="2:15">
      <c r="B256" s="5"/>
      <c r="O256" s="5"/>
    </row>
    <row r="257" spans="2:15">
      <c r="B257" s="5"/>
      <c r="O257" s="5"/>
    </row>
    <row r="258" spans="2:15">
      <c r="B258" s="5"/>
      <c r="O258" s="5"/>
    </row>
    <row r="259" spans="2:15">
      <c r="B259" s="5"/>
      <c r="O259" s="5"/>
    </row>
    <row r="260" spans="2:15">
      <c r="B260" s="5"/>
      <c r="O260" s="5"/>
    </row>
    <row r="261" spans="2:15">
      <c r="B261" s="5"/>
      <c r="O261" s="5"/>
    </row>
    <row r="262" spans="2:15">
      <c r="B262" s="5"/>
      <c r="O262" s="5"/>
    </row>
    <row r="263" spans="2:15">
      <c r="B263" s="5"/>
      <c r="O263" s="5"/>
    </row>
    <row r="264" spans="2:15">
      <c r="B264" s="5"/>
      <c r="O264" s="5"/>
    </row>
    <row r="265" spans="2:15">
      <c r="B265" s="5"/>
      <c r="O265" s="5"/>
    </row>
    <row r="266" spans="2:15">
      <c r="B266" s="5"/>
      <c r="O266" s="5"/>
    </row>
    <row r="267" spans="2:15">
      <c r="B267" s="5"/>
      <c r="O267" s="5"/>
    </row>
    <row r="268" spans="2:15">
      <c r="B268" s="5"/>
      <c r="O268" s="5"/>
    </row>
    <row r="269" spans="2:15">
      <c r="B269" s="5"/>
      <c r="O269" s="5"/>
    </row>
    <row r="270" spans="2:15">
      <c r="B270" s="5"/>
      <c r="O270" s="5"/>
    </row>
    <row r="271" spans="2:15">
      <c r="B271" s="5"/>
      <c r="O271" s="5"/>
    </row>
    <row r="272" spans="2:15">
      <c r="B272" s="5"/>
      <c r="O272" s="5"/>
    </row>
    <row r="273" spans="2:15">
      <c r="B273" s="5"/>
      <c r="O273" s="5"/>
    </row>
    <row r="274" spans="2:15">
      <c r="B274" s="5"/>
      <c r="O274" s="5"/>
    </row>
    <row r="275" spans="2:15">
      <c r="B275" s="5"/>
      <c r="O275" s="5"/>
    </row>
    <row r="276" spans="2:15">
      <c r="B276" s="5"/>
      <c r="O276" s="5"/>
    </row>
    <row r="277" spans="2:15">
      <c r="B277" s="5"/>
      <c r="O277" s="5"/>
    </row>
    <row r="278" spans="2:15">
      <c r="B278" s="5"/>
      <c r="O278" s="5"/>
    </row>
    <row r="279" spans="2:15">
      <c r="B279" s="5"/>
      <c r="O279" s="5"/>
    </row>
    <row r="280" spans="2:15">
      <c r="B280" s="5"/>
      <c r="O280" s="5"/>
    </row>
    <row r="281" spans="2:15">
      <c r="B281" s="5"/>
      <c r="O281" s="5"/>
    </row>
    <row r="282" spans="2:15">
      <c r="B282" s="5"/>
      <c r="O282" s="5"/>
    </row>
    <row r="283" spans="2:15">
      <c r="B283" s="5"/>
      <c r="O283" s="5"/>
    </row>
    <row r="284" spans="2:15">
      <c r="B284" s="5"/>
      <c r="O284" s="5"/>
    </row>
    <row r="285" spans="2:15">
      <c r="B285" s="5"/>
      <c r="O285" s="5"/>
    </row>
    <row r="286" spans="2:15">
      <c r="B286" s="5"/>
      <c r="O286" s="5"/>
    </row>
    <row r="287" spans="2:15">
      <c r="B287" s="5"/>
      <c r="O287" s="5"/>
    </row>
    <row r="288" spans="2:15">
      <c r="B288" s="5"/>
      <c r="O288" s="5"/>
    </row>
    <row r="289" spans="2:15">
      <c r="B289" s="5"/>
      <c r="O289" s="5"/>
    </row>
    <row r="290" spans="2:15">
      <c r="B290" s="5"/>
      <c r="O290" s="5"/>
    </row>
    <row r="291" spans="2:15">
      <c r="B291" s="5"/>
      <c r="O291" s="5"/>
    </row>
    <row r="292" spans="2:15">
      <c r="B292" s="5"/>
      <c r="O292" s="5"/>
    </row>
    <row r="293" spans="2:15">
      <c r="B293" s="5"/>
      <c r="O293" s="5"/>
    </row>
    <row r="294" spans="2:15">
      <c r="B294" s="5"/>
      <c r="O294" s="5"/>
    </row>
    <row r="295" spans="2:15">
      <c r="B295" s="5"/>
      <c r="O295" s="5"/>
    </row>
    <row r="296" spans="2:15">
      <c r="B296" s="5"/>
      <c r="O296" s="5"/>
    </row>
    <row r="297" spans="2:15">
      <c r="B297" s="5"/>
      <c r="O297" s="5"/>
    </row>
    <row r="298" spans="2:15">
      <c r="B298" s="5"/>
      <c r="O298" s="5"/>
    </row>
    <row r="299" spans="2:15">
      <c r="B299" s="5"/>
      <c r="O299" s="5"/>
    </row>
    <row r="300" spans="2:15">
      <c r="B300" s="5"/>
      <c r="O300" s="5"/>
    </row>
    <row r="301" spans="2:15">
      <c r="B301" s="5"/>
      <c r="O301" s="5"/>
    </row>
    <row r="302" spans="2:15">
      <c r="B302" s="5"/>
      <c r="O302" s="5"/>
    </row>
    <row r="303" spans="2:15">
      <c r="B303" s="5"/>
      <c r="O303" s="5"/>
    </row>
    <row r="304" spans="2:15">
      <c r="B304" s="5"/>
      <c r="O304" s="5"/>
    </row>
    <row r="305" spans="2:15">
      <c r="B305" s="5"/>
      <c r="O305" s="5"/>
    </row>
    <row r="306" spans="2:15">
      <c r="B306" s="5"/>
      <c r="O306" s="5"/>
    </row>
    <row r="307" spans="2:15">
      <c r="B307" s="5"/>
      <c r="O307" s="5"/>
    </row>
    <row r="308" spans="2:15">
      <c r="B308" s="5"/>
      <c r="O308" s="5"/>
    </row>
    <row r="309" spans="2:15">
      <c r="B309" s="5"/>
      <c r="O309" s="5"/>
    </row>
    <row r="310" spans="2:15">
      <c r="B310" s="5"/>
      <c r="O310" s="5"/>
    </row>
    <row r="311" spans="2:15">
      <c r="B311" s="5"/>
      <c r="O311" s="5"/>
    </row>
    <row r="312" spans="2:15">
      <c r="B312" s="5"/>
      <c r="O312" s="5"/>
    </row>
    <row r="313" spans="2:15">
      <c r="B313" s="5"/>
      <c r="O313" s="5"/>
    </row>
    <row r="314" spans="2:15">
      <c r="B314" s="5"/>
      <c r="O314" s="5"/>
    </row>
    <row r="315" spans="2:15">
      <c r="B315" s="5"/>
      <c r="O315" s="5"/>
    </row>
    <row r="316" spans="2:15">
      <c r="B316" s="5"/>
      <c r="O316" s="5"/>
    </row>
    <row r="317" spans="2:15">
      <c r="B317" s="5"/>
      <c r="O317" s="5"/>
    </row>
    <row r="318" spans="2:15">
      <c r="B318" s="5"/>
      <c r="O318" s="5"/>
    </row>
    <row r="319" spans="2:15">
      <c r="B319" s="5"/>
      <c r="O319" s="5"/>
    </row>
    <row r="320" spans="2:15">
      <c r="B320" s="5"/>
      <c r="O320" s="5"/>
    </row>
    <row r="321" spans="2:15">
      <c r="B321" s="5"/>
      <c r="O321" s="5"/>
    </row>
    <row r="322" spans="2:15">
      <c r="B322" s="5"/>
      <c r="O322" s="5"/>
    </row>
    <row r="323" spans="2:15">
      <c r="B323" s="5"/>
      <c r="O323" s="5"/>
    </row>
    <row r="324" spans="2:15">
      <c r="B324" s="5"/>
      <c r="O324" s="5"/>
    </row>
    <row r="325" spans="2:15">
      <c r="B325" s="5"/>
      <c r="O325" s="5"/>
    </row>
    <row r="326" spans="2:15">
      <c r="B326" s="5"/>
      <c r="O326" s="5"/>
    </row>
    <row r="327" spans="2:15">
      <c r="B327" s="5"/>
      <c r="O327" s="5"/>
    </row>
    <row r="328" spans="2:15">
      <c r="B328" s="5"/>
      <c r="O328" s="5"/>
    </row>
    <row r="329" spans="2:15">
      <c r="B329" s="5"/>
      <c r="O329" s="5"/>
    </row>
    <row r="330" spans="2:15">
      <c r="B330" s="5"/>
      <c r="O330" s="5"/>
    </row>
    <row r="331" spans="2:15">
      <c r="B331" s="5"/>
      <c r="O331" s="5"/>
    </row>
    <row r="332" spans="2:15">
      <c r="B332" s="5"/>
      <c r="O332" s="5"/>
    </row>
    <row r="333" spans="2:15">
      <c r="B333" s="5"/>
      <c r="O333" s="5"/>
    </row>
    <row r="334" spans="2:15">
      <c r="B334" s="5"/>
      <c r="O334" s="5"/>
    </row>
    <row r="335" spans="2:15">
      <c r="B335" s="5"/>
      <c r="O335" s="5"/>
    </row>
    <row r="336" spans="2:15">
      <c r="B336" s="5"/>
      <c r="O336" s="5"/>
    </row>
    <row r="337" spans="2:15">
      <c r="B337" s="5"/>
      <c r="O337" s="5"/>
    </row>
    <row r="338" spans="2:15">
      <c r="B338" s="5"/>
      <c r="O338" s="5"/>
    </row>
    <row r="339" spans="2:15">
      <c r="B339" s="5"/>
      <c r="O339" s="5"/>
    </row>
    <row r="340" spans="2:15">
      <c r="B340" s="5"/>
      <c r="O340" s="5"/>
    </row>
    <row r="341" spans="2:15">
      <c r="B341" s="5"/>
      <c r="O341" s="5"/>
    </row>
    <row r="342" spans="2:15">
      <c r="B342" s="5"/>
      <c r="O342" s="5"/>
    </row>
    <row r="343" spans="2:15">
      <c r="B343" s="5"/>
      <c r="O343" s="5"/>
    </row>
    <row r="344" spans="2:15">
      <c r="B344" s="5"/>
      <c r="O344" s="5"/>
    </row>
    <row r="345" spans="2:15">
      <c r="B345" s="5"/>
      <c r="O345" s="5"/>
    </row>
    <row r="346" spans="2:15">
      <c r="B346" s="5"/>
      <c r="O346" s="5"/>
    </row>
    <row r="347" spans="2:15">
      <c r="B347" s="5"/>
      <c r="O347" s="5"/>
    </row>
    <row r="348" spans="2:15">
      <c r="B348" s="5"/>
      <c r="O348" s="5"/>
    </row>
    <row r="349" spans="2:15">
      <c r="B349" s="5"/>
      <c r="O349" s="5"/>
    </row>
    <row r="350" spans="2:15">
      <c r="B350" s="5"/>
      <c r="O350" s="5"/>
    </row>
    <row r="351" spans="2:15">
      <c r="B351" s="5"/>
      <c r="O351" s="5"/>
    </row>
    <row r="352" spans="2:15">
      <c r="B352" s="5"/>
      <c r="O352" s="5"/>
    </row>
    <row r="353" spans="2:15">
      <c r="B353" s="5"/>
      <c r="O353" s="5"/>
    </row>
    <row r="354" spans="2:15">
      <c r="B354" s="5"/>
      <c r="O354" s="5"/>
    </row>
    <row r="355" spans="2:15">
      <c r="B355" s="5"/>
      <c r="O355" s="5"/>
    </row>
    <row r="356" spans="2:15">
      <c r="B356" s="5"/>
      <c r="O356" s="5"/>
    </row>
    <row r="357" spans="2:15">
      <c r="B357" s="5"/>
      <c r="O357" s="5"/>
    </row>
    <row r="358" spans="2:15">
      <c r="B358" s="5"/>
      <c r="O358" s="5"/>
    </row>
    <row r="359" spans="2:15">
      <c r="B359" s="5"/>
      <c r="O359" s="5"/>
    </row>
    <row r="360" spans="2:15">
      <c r="B360" s="5"/>
      <c r="O360" s="5"/>
    </row>
    <row r="361" spans="2:15">
      <c r="B361" s="5"/>
      <c r="O361" s="5"/>
    </row>
    <row r="362" spans="2:15">
      <c r="B362" s="5"/>
      <c r="O362" s="5"/>
    </row>
    <row r="363" spans="2:15">
      <c r="B363" s="5"/>
      <c r="O363" s="5"/>
    </row>
    <row r="364" spans="2:15">
      <c r="B364" s="5"/>
      <c r="O364" s="5"/>
    </row>
    <row r="365" spans="2:15">
      <c r="B365" s="5"/>
      <c r="O365" s="5"/>
    </row>
    <row r="366" spans="2:15">
      <c r="B366" s="5"/>
      <c r="O366" s="5"/>
    </row>
    <row r="367" spans="2:15">
      <c r="B367" s="5"/>
      <c r="O367" s="5"/>
    </row>
    <row r="368" spans="2:15">
      <c r="B368" s="5"/>
      <c r="O368" s="5"/>
    </row>
    <row r="369" spans="2:15">
      <c r="B369" s="5"/>
      <c r="O369" s="5"/>
    </row>
    <row r="370" spans="2:15">
      <c r="B370" s="5"/>
      <c r="O370" s="5"/>
    </row>
    <row r="371" spans="2:15">
      <c r="B371" s="5"/>
      <c r="O371" s="5"/>
    </row>
    <row r="372" spans="2:15">
      <c r="B372" s="5"/>
      <c r="O372" s="5"/>
    </row>
    <row r="373" spans="2:15">
      <c r="B373" s="5"/>
      <c r="O373" s="5"/>
    </row>
    <row r="374" spans="2:15">
      <c r="B374" s="5"/>
      <c r="O374" s="5"/>
    </row>
    <row r="375" spans="2:15">
      <c r="B375" s="5"/>
      <c r="O375" s="5"/>
    </row>
    <row r="376" spans="2:15">
      <c r="B376" s="5"/>
      <c r="O376" s="5"/>
    </row>
    <row r="377" spans="2:15">
      <c r="B377" s="5"/>
      <c r="O377" s="5"/>
    </row>
    <row r="378" spans="2:15">
      <c r="B378" s="5"/>
      <c r="O378" s="5"/>
    </row>
    <row r="379" spans="2:15">
      <c r="B379" s="5"/>
      <c r="O379" s="5"/>
    </row>
    <row r="380" spans="2:15">
      <c r="B380" s="5"/>
      <c r="O380" s="5"/>
    </row>
    <row r="381" spans="2:15">
      <c r="B381" s="5"/>
      <c r="O381" s="5"/>
    </row>
    <row r="382" spans="2:15">
      <c r="B382" s="5"/>
      <c r="O382" s="5"/>
    </row>
    <row r="383" spans="2:15">
      <c r="B383" s="5"/>
      <c r="O383" s="5"/>
    </row>
    <row r="384" spans="2:15">
      <c r="B384" s="5"/>
      <c r="O384" s="5"/>
    </row>
    <row r="385" spans="2:15">
      <c r="B385" s="5"/>
      <c r="O385" s="5"/>
    </row>
    <row r="386" spans="2:15">
      <c r="B386" s="5"/>
      <c r="O386" s="5"/>
    </row>
    <row r="387" spans="2:15">
      <c r="B387" s="5"/>
      <c r="O387" s="5"/>
    </row>
    <row r="388" spans="2:15">
      <c r="B388" s="5"/>
      <c r="O388" s="5"/>
    </row>
    <row r="389" spans="2:15">
      <c r="B389" s="5"/>
      <c r="O389" s="5"/>
    </row>
    <row r="390" spans="2:15">
      <c r="B390" s="5"/>
      <c r="O390" s="5"/>
    </row>
    <row r="391" spans="2:15">
      <c r="B391" s="5"/>
      <c r="O391" s="5"/>
    </row>
    <row r="392" spans="2:15">
      <c r="B392" s="5"/>
      <c r="O392" s="5"/>
    </row>
    <row r="393" spans="2:15">
      <c r="B393" s="5"/>
      <c r="O393" s="5"/>
    </row>
    <row r="394" spans="2:15">
      <c r="B394" s="5"/>
      <c r="O394" s="5"/>
    </row>
    <row r="395" spans="2:15">
      <c r="B395" s="5"/>
      <c r="O395" s="5"/>
    </row>
    <row r="396" spans="2:15">
      <c r="B396" s="5"/>
      <c r="O396" s="5"/>
    </row>
    <row r="397" spans="2:15">
      <c r="B397" s="5"/>
      <c r="O397" s="5"/>
    </row>
    <row r="398" spans="2:15">
      <c r="B398" s="5"/>
      <c r="O398" s="5"/>
    </row>
    <row r="399" spans="2:15">
      <c r="B399" s="5"/>
      <c r="O399" s="5"/>
    </row>
    <row r="400" spans="2:15">
      <c r="B400" s="5"/>
      <c r="O400" s="5"/>
    </row>
    <row r="401" spans="2:15">
      <c r="B401" s="5"/>
      <c r="O401" s="5"/>
    </row>
    <row r="402" spans="2:15">
      <c r="B402" s="5"/>
      <c r="O402" s="5"/>
    </row>
    <row r="403" spans="2:15">
      <c r="B403" s="5"/>
      <c r="O403" s="5"/>
    </row>
    <row r="404" spans="2:15">
      <c r="B404" s="5"/>
      <c r="O404" s="5"/>
    </row>
    <row r="405" spans="2:15">
      <c r="B405" s="5"/>
      <c r="O405" s="5"/>
    </row>
    <row r="406" spans="2:15">
      <c r="B406" s="5"/>
      <c r="O406" s="5"/>
    </row>
    <row r="407" spans="2:15">
      <c r="B407" s="5"/>
      <c r="O407" s="5"/>
    </row>
    <row r="408" spans="2:15">
      <c r="B408" s="5"/>
      <c r="O408" s="5"/>
    </row>
    <row r="409" spans="2:15">
      <c r="B409" s="5"/>
      <c r="O409" s="5"/>
    </row>
    <row r="410" spans="2:15">
      <c r="B410" s="5"/>
      <c r="O410" s="5"/>
    </row>
    <row r="411" spans="2:15">
      <c r="B411" s="5"/>
      <c r="O411" s="5"/>
    </row>
    <row r="412" spans="2:15">
      <c r="B412" s="5"/>
      <c r="O412" s="5"/>
    </row>
    <row r="413" spans="2:15">
      <c r="B413" s="5"/>
      <c r="O413" s="5"/>
    </row>
    <row r="414" spans="2:15">
      <c r="B414" s="5"/>
      <c r="O414" s="5"/>
    </row>
    <row r="415" spans="2:15">
      <c r="B415" s="5"/>
      <c r="O415" s="5"/>
    </row>
    <row r="416" spans="2:15">
      <c r="B416" s="5"/>
      <c r="O416" s="5"/>
    </row>
    <row r="417" spans="2:15">
      <c r="B417" s="5"/>
      <c r="O417" s="5"/>
    </row>
    <row r="418" spans="2:15">
      <c r="B418" s="5"/>
      <c r="O418" s="5"/>
    </row>
    <row r="419" spans="2:15">
      <c r="B419" s="5"/>
      <c r="O419" s="5"/>
    </row>
    <row r="420" spans="2:15">
      <c r="B420" s="5"/>
      <c r="O420" s="5"/>
    </row>
    <row r="421" spans="2:15">
      <c r="B421" s="5"/>
      <c r="O421" s="5"/>
    </row>
    <row r="422" spans="2:15">
      <c r="B422" s="5"/>
      <c r="O422" s="5"/>
    </row>
    <row r="423" spans="2:15">
      <c r="B423" s="5"/>
      <c r="O423" s="5"/>
    </row>
    <row r="424" spans="2:15">
      <c r="B424" s="5"/>
      <c r="O424" s="5"/>
    </row>
    <row r="425" spans="2:15">
      <c r="B425" s="5"/>
      <c r="O425" s="5"/>
    </row>
    <row r="426" spans="2:15">
      <c r="B426" s="5"/>
      <c r="O426" s="5"/>
    </row>
    <row r="427" spans="2:15">
      <c r="B427" s="5"/>
      <c r="O427" s="5"/>
    </row>
    <row r="428" spans="2:15">
      <c r="B428" s="5"/>
      <c r="O428" s="5"/>
    </row>
    <row r="429" spans="2:15">
      <c r="B429" s="5"/>
      <c r="O429" s="5"/>
    </row>
    <row r="430" spans="2:15">
      <c r="B430" s="5"/>
      <c r="O430" s="5"/>
    </row>
    <row r="431" spans="2:15">
      <c r="B431" s="5"/>
      <c r="O431" s="5"/>
    </row>
    <row r="432" spans="2:15">
      <c r="B432" s="5"/>
      <c r="O432" s="5"/>
    </row>
    <row r="433" spans="2:15">
      <c r="B433" s="5"/>
      <c r="O433" s="5"/>
    </row>
    <row r="434" spans="2:15">
      <c r="B434" s="5"/>
      <c r="O434" s="5"/>
    </row>
    <row r="435" spans="2:15">
      <c r="B435" s="5"/>
      <c r="O435" s="5"/>
    </row>
    <row r="436" spans="2:15">
      <c r="B436" s="5"/>
      <c r="O436" s="5"/>
    </row>
    <row r="437" spans="2:15">
      <c r="B437" s="5"/>
      <c r="O437" s="5"/>
    </row>
    <row r="438" spans="2:15">
      <c r="B438" s="5"/>
      <c r="O438" s="5"/>
    </row>
    <row r="439" spans="2:15">
      <c r="B439" s="5"/>
      <c r="O439" s="5"/>
    </row>
    <row r="440" spans="2:15">
      <c r="B440" s="5"/>
      <c r="O440" s="5"/>
    </row>
    <row r="441" spans="2:15">
      <c r="B441" s="5"/>
      <c r="O441" s="5"/>
    </row>
    <row r="442" spans="2:15">
      <c r="B442" s="5"/>
      <c r="O442" s="5"/>
    </row>
    <row r="443" spans="2:15">
      <c r="B443" s="5"/>
      <c r="O443" s="5"/>
    </row>
    <row r="444" spans="2:15">
      <c r="B444" s="5"/>
      <c r="O444" s="5"/>
    </row>
    <row r="445" spans="2:15">
      <c r="B445" s="5"/>
      <c r="O445" s="5"/>
    </row>
    <row r="446" spans="2:15">
      <c r="B446" s="5"/>
      <c r="O446" s="5"/>
    </row>
    <row r="447" spans="2:15">
      <c r="B447" s="5"/>
      <c r="O447" s="5"/>
    </row>
    <row r="448" spans="2:15">
      <c r="B448" s="5"/>
      <c r="O448" s="5"/>
    </row>
    <row r="449" spans="2:15">
      <c r="B449" s="5"/>
      <c r="O449" s="5"/>
    </row>
    <row r="450" spans="2:15">
      <c r="B450" s="5"/>
      <c r="O450" s="5"/>
    </row>
    <row r="451" spans="2:15">
      <c r="B451" s="5"/>
      <c r="O451" s="5"/>
    </row>
    <row r="452" spans="2:15">
      <c r="B452" s="5"/>
      <c r="O452" s="5"/>
    </row>
    <row r="453" spans="2:15">
      <c r="B453" s="5"/>
      <c r="O453" s="5"/>
    </row>
    <row r="454" spans="2:15">
      <c r="B454" s="5"/>
      <c r="O454" s="5"/>
    </row>
    <row r="455" spans="2:15">
      <c r="B455" s="5"/>
      <c r="O455" s="5"/>
    </row>
    <row r="456" spans="2:15">
      <c r="B456" s="5"/>
      <c r="O456" s="5"/>
    </row>
    <row r="457" spans="2:15">
      <c r="B457" s="5"/>
      <c r="O457" s="5"/>
    </row>
    <row r="458" spans="2:15">
      <c r="B458" s="5"/>
      <c r="O458" s="5"/>
    </row>
    <row r="459" spans="2:15">
      <c r="B459" s="5"/>
      <c r="O459" s="5"/>
    </row>
    <row r="460" spans="2:15">
      <c r="B460" s="5"/>
      <c r="O460" s="5"/>
    </row>
    <row r="461" spans="2:15">
      <c r="B461" s="5"/>
      <c r="O461" s="5"/>
    </row>
    <row r="462" spans="2:15">
      <c r="B462" s="5"/>
      <c r="O462" s="5"/>
    </row>
    <row r="463" spans="2:15">
      <c r="B463" s="5"/>
      <c r="O463" s="5"/>
    </row>
    <row r="464" spans="2:15">
      <c r="B464" s="5"/>
      <c r="O464" s="5"/>
    </row>
    <row r="465" spans="2:15">
      <c r="B465" s="5"/>
      <c r="O465" s="5"/>
    </row>
    <row r="466" spans="2:15">
      <c r="B466" s="5"/>
      <c r="O466" s="5"/>
    </row>
    <row r="467" spans="2:15">
      <c r="B467" s="5"/>
      <c r="O467" s="5"/>
    </row>
    <row r="468" spans="2:15">
      <c r="B468" s="5"/>
      <c r="O468" s="5"/>
    </row>
    <row r="469" spans="2:15">
      <c r="B469" s="5"/>
      <c r="O469" s="5"/>
    </row>
    <row r="470" spans="2:15">
      <c r="B470" s="5"/>
      <c r="O470" s="5"/>
    </row>
    <row r="471" spans="2:15">
      <c r="B471" s="5"/>
      <c r="O471" s="5"/>
    </row>
    <row r="472" spans="2:15">
      <c r="B472" s="5"/>
      <c r="O472" s="5"/>
    </row>
    <row r="473" spans="2:15">
      <c r="B473" s="5"/>
      <c r="O473" s="5"/>
    </row>
    <row r="474" spans="2:15">
      <c r="B474" s="5"/>
      <c r="O474" s="5"/>
    </row>
    <row r="475" spans="2:15">
      <c r="B475" s="5"/>
      <c r="O475" s="5"/>
    </row>
    <row r="476" spans="2:15">
      <c r="B476" s="5"/>
      <c r="O476" s="5"/>
    </row>
    <row r="477" spans="2:15">
      <c r="B477" s="5"/>
      <c r="O477" s="5"/>
    </row>
    <row r="478" spans="2:15">
      <c r="B478" s="5"/>
      <c r="O478" s="5"/>
    </row>
    <row r="479" spans="2:15">
      <c r="B479" s="5"/>
      <c r="O479" s="5"/>
    </row>
    <row r="480" spans="2:15">
      <c r="B480" s="5"/>
      <c r="O480" s="5"/>
    </row>
    <row r="481" spans="2:15">
      <c r="B481" s="5"/>
      <c r="O481" s="5"/>
    </row>
    <row r="482" spans="2:15">
      <c r="B482" s="5"/>
      <c r="O482" s="5"/>
    </row>
    <row r="483" spans="2:15">
      <c r="B483" s="5"/>
      <c r="O483" s="5"/>
    </row>
    <row r="484" spans="2:15">
      <c r="B484" s="5"/>
      <c r="O484" s="5"/>
    </row>
    <row r="485" spans="2:15">
      <c r="B485" s="5"/>
      <c r="O485" s="5"/>
    </row>
    <row r="486" spans="2:15">
      <c r="B486" s="5"/>
      <c r="O486" s="5"/>
    </row>
    <row r="487" spans="2:15">
      <c r="B487" s="5"/>
      <c r="O487" s="5"/>
    </row>
    <row r="488" spans="2:15">
      <c r="B488" s="5"/>
      <c r="O488" s="5"/>
    </row>
    <row r="489" spans="2:15">
      <c r="B489" s="5"/>
      <c r="O489" s="5"/>
    </row>
    <row r="490" spans="2:15">
      <c r="B490" s="5"/>
      <c r="O490" s="5"/>
    </row>
    <row r="491" spans="2:15">
      <c r="B491" s="5"/>
      <c r="O491" s="5"/>
    </row>
    <row r="492" spans="2:15">
      <c r="B492" s="5"/>
      <c r="O492" s="5"/>
    </row>
    <row r="493" spans="2:15">
      <c r="B493" s="5"/>
      <c r="O493" s="5"/>
    </row>
    <row r="494" spans="2:15">
      <c r="B494" s="5"/>
      <c r="O494" s="5"/>
    </row>
    <row r="495" spans="2:15">
      <c r="B495" s="5"/>
      <c r="O495" s="5"/>
    </row>
    <row r="496" spans="2:15">
      <c r="B496" s="5"/>
      <c r="O496" s="5"/>
    </row>
    <row r="497" spans="2:15">
      <c r="B497" s="5"/>
      <c r="O497" s="5"/>
    </row>
    <row r="498" spans="2:15">
      <c r="B498" s="5"/>
      <c r="O498" s="5"/>
    </row>
  </sheetData>
  <mergeCells count="1">
    <mergeCell ref="A1:P1"/>
  </mergeCells>
  <phoneticPr fontId="6" type="noConversion"/>
  <conditionalFormatting sqref="I4:I498">
    <cfRule type="expression" dxfId="10" priority="1">
      <formula>OR($I4="Blocked",$I4="Needs Action")</formula>
    </cfRule>
    <cfRule type="expression" dxfId="9" priority="2">
      <formula>OR($I4="Waiting on Others",$I4="Pending",$I4="Under Review")</formula>
    </cfRule>
    <cfRule type="expression" dxfId="8" priority="3">
      <formula>OR($I4="In Progress",$I4="Starts 20 May")</formula>
    </cfRule>
    <cfRule type="expression" dxfId="7" priority="4">
      <formula>OR($I4="Complete",$I4="Ready",$I4="Complete / Under Review")</formula>
    </cfRule>
  </conditionalFormatting>
  <conditionalFormatting sqref="M4:M498">
    <cfRule type="expression" dxfId="6" priority="5">
      <formula>$M4="No"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B00-000000000000}">
          <x14:formula1>
            <xm:f>Lists!$A$4:$A$18</xm:f>
          </x14:formula1>
          <xm:sqref>I4:I498</xm:sqref>
        </x14:dataValidation>
        <x14:dataValidation type="list" xr:uid="{00000000-0002-0000-0B00-000001000000}">
          <x14:formula1>
            <xm:f>Lists!$C$4:$C$8</xm:f>
          </x14:formula1>
          <xm:sqref>K4:K498</xm:sqref>
        </x14:dataValidation>
        <x14:dataValidation type="list" xr:uid="{00000000-0002-0000-0B00-000002000000}">
          <x14:formula1>
            <xm:f>Lists!$E$4:$E$5</xm:f>
          </x14:formula1>
          <xm:sqref>M4:M498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90"/>
  <sheetViews>
    <sheetView workbookViewId="0">
      <selection activeCell="A20" sqref="A20"/>
    </sheetView>
  </sheetViews>
  <sheetFormatPr defaultRowHeight="14"/>
  <cols>
    <col min="1" max="1" width="18" customWidth="1"/>
    <col min="2" max="5" width="16" customWidth="1"/>
    <col min="6" max="8" width="14" customWidth="1"/>
    <col min="9" max="9" width="38" customWidth="1"/>
  </cols>
  <sheetData>
    <row r="1" spans="1:12" ht="20">
      <c r="A1" s="7" t="s">
        <v>261</v>
      </c>
      <c r="B1" s="8"/>
      <c r="C1" s="8"/>
      <c r="D1" s="8"/>
      <c r="E1" s="8"/>
      <c r="F1" s="8"/>
      <c r="G1" s="8"/>
      <c r="H1" s="8"/>
      <c r="I1" s="8"/>
    </row>
    <row r="3" spans="1:12">
      <c r="A3" s="1" t="s">
        <v>107</v>
      </c>
      <c r="B3" s="1" t="s">
        <v>1095</v>
      </c>
      <c r="C3" s="1" t="s">
        <v>1096</v>
      </c>
      <c r="D3" s="1" t="s">
        <v>1097</v>
      </c>
      <c r="E3" s="1" t="s">
        <v>31</v>
      </c>
      <c r="F3" s="1" t="s">
        <v>212</v>
      </c>
      <c r="G3" s="1" t="s">
        <v>114</v>
      </c>
      <c r="H3" s="1" t="s">
        <v>231</v>
      </c>
      <c r="I3" s="1" t="s">
        <v>117</v>
      </c>
      <c r="J3" s="6" t="s">
        <v>118</v>
      </c>
      <c r="K3" s="6" t="s">
        <v>17</v>
      </c>
      <c r="L3" s="6" t="s">
        <v>18</v>
      </c>
    </row>
    <row r="4" spans="1:12" ht="14" customHeight="1">
      <c r="A4" s="2" t="s">
        <v>518</v>
      </c>
      <c r="B4" s="2" t="s">
        <v>51</v>
      </c>
      <c r="C4" s="2">
        <v>90</v>
      </c>
      <c r="D4" s="2">
        <v>100</v>
      </c>
      <c r="E4" s="2" t="s">
        <v>96</v>
      </c>
      <c r="F4" s="2" t="s">
        <v>331</v>
      </c>
      <c r="G4" s="10">
        <v>46157</v>
      </c>
      <c r="H4" s="4" t="s">
        <v>1121</v>
      </c>
      <c r="I4" s="2" t="s">
        <v>46</v>
      </c>
      <c r="J4" s="6">
        <v>1</v>
      </c>
      <c r="K4" s="12">
        <v>46156</v>
      </c>
      <c r="L4" s="6" t="s">
        <v>537</v>
      </c>
    </row>
    <row r="5" spans="1:12" ht="14" customHeight="1">
      <c r="A5" s="2" t="s">
        <v>518</v>
      </c>
      <c r="B5" s="2" t="s">
        <v>61</v>
      </c>
      <c r="C5" s="2">
        <v>85</v>
      </c>
      <c r="D5" s="2">
        <v>85</v>
      </c>
      <c r="E5" s="2" t="s">
        <v>71</v>
      </c>
      <c r="F5" s="2" t="s">
        <v>1122</v>
      </c>
      <c r="G5" s="10">
        <v>46157</v>
      </c>
      <c r="H5" s="4" t="s">
        <v>1123</v>
      </c>
      <c r="I5" s="2" t="s">
        <v>46</v>
      </c>
      <c r="J5" s="6">
        <v>2</v>
      </c>
      <c r="K5" s="12">
        <v>46156</v>
      </c>
      <c r="L5" s="6"/>
    </row>
    <row r="6" spans="1:12" ht="14" customHeight="1">
      <c r="A6" s="2" t="s">
        <v>518</v>
      </c>
      <c r="B6" s="2" t="s">
        <v>70</v>
      </c>
      <c r="C6" s="2">
        <v>0</v>
      </c>
      <c r="D6" s="2">
        <v>0</v>
      </c>
      <c r="E6" s="2" t="s">
        <v>42</v>
      </c>
      <c r="F6" s="2" t="s">
        <v>208</v>
      </c>
      <c r="G6" s="10" t="s">
        <v>1124</v>
      </c>
      <c r="H6" s="4" t="s">
        <v>1125</v>
      </c>
      <c r="I6" s="2" t="s">
        <v>46</v>
      </c>
      <c r="J6" s="6">
        <v>3</v>
      </c>
      <c r="K6" s="12">
        <v>46156</v>
      </c>
      <c r="L6" s="6"/>
    </row>
    <row r="7" spans="1:12" ht="14" customHeight="1">
      <c r="A7" s="2" t="s">
        <v>518</v>
      </c>
      <c r="B7" s="2" t="s">
        <v>79</v>
      </c>
      <c r="C7" s="2">
        <v>0</v>
      </c>
      <c r="D7" s="2">
        <v>0</v>
      </c>
      <c r="E7" s="2" t="s">
        <v>42</v>
      </c>
      <c r="F7" s="2" t="s">
        <v>218</v>
      </c>
      <c r="G7" s="10" t="s">
        <v>72</v>
      </c>
      <c r="H7" s="4" t="s">
        <v>1102</v>
      </c>
      <c r="I7" s="2" t="s">
        <v>46</v>
      </c>
      <c r="J7" s="6">
        <v>4</v>
      </c>
      <c r="K7" s="12">
        <v>46156</v>
      </c>
      <c r="L7" s="6"/>
    </row>
    <row r="8" spans="1:12" ht="14" customHeight="1">
      <c r="A8" s="2" t="s">
        <v>518</v>
      </c>
      <c r="B8" s="2" t="s">
        <v>85</v>
      </c>
      <c r="C8" s="2">
        <v>0</v>
      </c>
      <c r="D8" s="2">
        <v>0</v>
      </c>
      <c r="E8" s="2" t="s">
        <v>42</v>
      </c>
      <c r="F8" s="2" t="s">
        <v>196</v>
      </c>
      <c r="G8" s="2" t="s">
        <v>72</v>
      </c>
      <c r="H8" s="4" t="s">
        <v>1102</v>
      </c>
      <c r="I8" s="2" t="s">
        <v>46</v>
      </c>
      <c r="J8" s="6">
        <v>5</v>
      </c>
      <c r="K8" s="12">
        <v>46156</v>
      </c>
      <c r="L8" s="6"/>
    </row>
    <row r="9" spans="1:12" ht="14" customHeight="1">
      <c r="A9" s="2" t="s">
        <v>518</v>
      </c>
      <c r="B9" s="2" t="s">
        <v>92</v>
      </c>
      <c r="C9" s="2">
        <v>0</v>
      </c>
      <c r="D9" s="2">
        <v>0</v>
      </c>
      <c r="E9" s="2" t="s">
        <v>42</v>
      </c>
      <c r="F9" s="2" t="s">
        <v>201</v>
      </c>
      <c r="G9" s="10" t="s">
        <v>72</v>
      </c>
      <c r="H9" s="4" t="s">
        <v>1102</v>
      </c>
      <c r="I9" s="2" t="s">
        <v>46</v>
      </c>
      <c r="J9" s="6">
        <v>6</v>
      </c>
      <c r="K9" s="12">
        <v>46156</v>
      </c>
      <c r="L9" s="6"/>
    </row>
    <row r="10" spans="1:12" ht="14" customHeight="1">
      <c r="A10" s="2"/>
      <c r="B10" s="2"/>
      <c r="C10" s="2"/>
      <c r="D10" s="2"/>
      <c r="E10" s="2"/>
      <c r="F10" s="2"/>
      <c r="G10" s="10"/>
      <c r="H10" s="4"/>
      <c r="I10" s="2"/>
      <c r="J10" s="6"/>
      <c r="K10" s="12"/>
      <c r="L10" s="6"/>
    </row>
    <row r="11" spans="1:12" ht="14" customHeight="1">
      <c r="A11" s="2" t="s">
        <v>520</v>
      </c>
      <c r="B11" s="2" t="s">
        <v>51</v>
      </c>
      <c r="C11" s="2">
        <v>100</v>
      </c>
      <c r="D11" s="2">
        <v>100</v>
      </c>
      <c r="E11" s="2" t="s">
        <v>96</v>
      </c>
      <c r="F11" s="2" t="s">
        <v>331</v>
      </c>
      <c r="G11" s="10">
        <v>46156</v>
      </c>
      <c r="H11" s="4" t="s">
        <v>1103</v>
      </c>
      <c r="I11" s="2" t="s">
        <v>46</v>
      </c>
      <c r="J11" s="6">
        <v>1</v>
      </c>
      <c r="K11" s="12">
        <v>46156</v>
      </c>
      <c r="L11" s="6" t="s">
        <v>554</v>
      </c>
    </row>
    <row r="12" spans="1:12" ht="14" customHeight="1">
      <c r="A12" s="2" t="s">
        <v>520</v>
      </c>
      <c r="B12" s="2" t="s">
        <v>61</v>
      </c>
      <c r="C12" s="2">
        <v>100</v>
      </c>
      <c r="D12" s="2">
        <v>100</v>
      </c>
      <c r="E12" s="2" t="s">
        <v>96</v>
      </c>
      <c r="F12" s="2" t="s">
        <v>196</v>
      </c>
      <c r="G12" s="10">
        <v>46156</v>
      </c>
      <c r="H12" s="4" t="s">
        <v>1104</v>
      </c>
      <c r="I12" s="2" t="s">
        <v>46</v>
      </c>
      <c r="J12" s="6">
        <v>2</v>
      </c>
      <c r="K12" s="12">
        <v>46156</v>
      </c>
      <c r="L12" s="6"/>
    </row>
    <row r="13" spans="1:12">
      <c r="A13" s="2" t="s">
        <v>520</v>
      </c>
      <c r="B13" s="2" t="s">
        <v>70</v>
      </c>
      <c r="C13" s="2">
        <v>85</v>
      </c>
      <c r="D13" s="2">
        <v>85</v>
      </c>
      <c r="E13" s="2" t="s">
        <v>71</v>
      </c>
      <c r="F13" s="2" t="s">
        <v>571</v>
      </c>
      <c r="G13" s="10">
        <v>46157</v>
      </c>
      <c r="H13" s="4" t="s">
        <v>1105</v>
      </c>
      <c r="I13" s="2" t="s">
        <v>46</v>
      </c>
      <c r="J13" s="6">
        <v>3</v>
      </c>
      <c r="K13" s="12">
        <v>46156</v>
      </c>
      <c r="L13" s="6"/>
    </row>
    <row r="14" spans="1:12" ht="14" customHeight="1">
      <c r="A14" s="2" t="s">
        <v>520</v>
      </c>
      <c r="B14" s="2" t="s">
        <v>79</v>
      </c>
      <c r="C14" s="2">
        <v>0</v>
      </c>
      <c r="D14" s="2">
        <v>0</v>
      </c>
      <c r="E14" s="2" t="s">
        <v>42</v>
      </c>
      <c r="F14" s="2" t="s">
        <v>571</v>
      </c>
      <c r="G14" s="10">
        <v>46157</v>
      </c>
      <c r="H14" s="4" t="s">
        <v>1117</v>
      </c>
      <c r="I14" s="2" t="s">
        <v>46</v>
      </c>
      <c r="J14" s="6">
        <v>4</v>
      </c>
      <c r="K14" s="12">
        <v>46156</v>
      </c>
      <c r="L14" s="6"/>
    </row>
    <row r="15" spans="1:12" ht="14" customHeight="1">
      <c r="A15" s="2" t="s">
        <v>520</v>
      </c>
      <c r="B15" s="2" t="s">
        <v>85</v>
      </c>
      <c r="C15" s="2">
        <v>0</v>
      </c>
      <c r="D15" s="2">
        <v>0</v>
      </c>
      <c r="E15" s="2" t="s">
        <v>42</v>
      </c>
      <c r="F15" s="2" t="s">
        <v>196</v>
      </c>
      <c r="G15" s="10" t="s">
        <v>72</v>
      </c>
      <c r="H15" s="4" t="s">
        <v>1102</v>
      </c>
      <c r="I15" s="2" t="s">
        <v>46</v>
      </c>
      <c r="J15" s="6">
        <v>5</v>
      </c>
      <c r="K15" s="12">
        <v>46156</v>
      </c>
      <c r="L15" s="6"/>
    </row>
    <row r="16" spans="1:12" ht="14" customHeight="1">
      <c r="A16" s="2" t="s">
        <v>520</v>
      </c>
      <c r="B16" s="2" t="s">
        <v>92</v>
      </c>
      <c r="C16" s="2">
        <v>0</v>
      </c>
      <c r="D16" s="2">
        <v>0</v>
      </c>
      <c r="E16" s="2" t="s">
        <v>42</v>
      </c>
      <c r="F16" s="2" t="s">
        <v>201</v>
      </c>
      <c r="G16" s="10" t="s">
        <v>72</v>
      </c>
      <c r="H16" s="4" t="s">
        <v>1102</v>
      </c>
      <c r="I16" s="2" t="s">
        <v>46</v>
      </c>
      <c r="J16" s="6">
        <v>6</v>
      </c>
      <c r="K16" s="12">
        <v>46156</v>
      </c>
      <c r="L16" s="6"/>
    </row>
    <row r="17" spans="1:12" ht="14" customHeight="1">
      <c r="A17" s="2"/>
      <c r="B17" s="2"/>
      <c r="C17" s="2"/>
      <c r="D17" s="2"/>
      <c r="E17" s="2"/>
      <c r="F17" s="2"/>
      <c r="G17" s="2"/>
      <c r="H17" s="4"/>
      <c r="I17" s="2"/>
      <c r="J17" s="6"/>
      <c r="K17" s="12"/>
      <c r="L17" s="6"/>
    </row>
    <row r="18" spans="1:12" ht="14" customHeight="1">
      <c r="A18" s="2" t="s">
        <v>522</v>
      </c>
      <c r="B18" s="2" t="s">
        <v>51</v>
      </c>
      <c r="C18" s="2">
        <v>100</v>
      </c>
      <c r="D18" s="2">
        <v>100</v>
      </c>
      <c r="E18" s="2" t="s">
        <v>96</v>
      </c>
      <c r="F18" s="2" t="s">
        <v>331</v>
      </c>
      <c r="G18" s="10">
        <v>46162</v>
      </c>
      <c r="H18" s="4" t="s">
        <v>1106</v>
      </c>
      <c r="I18" s="2" t="s">
        <v>46</v>
      </c>
      <c r="J18" s="6">
        <v>1</v>
      </c>
      <c r="K18" s="12">
        <v>46156</v>
      </c>
      <c r="L18" s="6" t="s">
        <v>579</v>
      </c>
    </row>
    <row r="19" spans="1:12" ht="14" customHeight="1">
      <c r="A19" s="2" t="s">
        <v>522</v>
      </c>
      <c r="B19" s="2" t="s">
        <v>61</v>
      </c>
      <c r="C19" s="2">
        <v>0</v>
      </c>
      <c r="D19" s="2">
        <v>0</v>
      </c>
      <c r="E19" s="2" t="s">
        <v>42</v>
      </c>
      <c r="F19" s="2" t="s">
        <v>175</v>
      </c>
      <c r="G19" s="10">
        <v>46162</v>
      </c>
      <c r="H19" s="4" t="s">
        <v>1107</v>
      </c>
      <c r="I19" s="2" t="s">
        <v>46</v>
      </c>
      <c r="J19" s="6">
        <v>2</v>
      </c>
      <c r="K19" s="12">
        <v>46156</v>
      </c>
      <c r="L19" s="6"/>
    </row>
    <row r="20" spans="1:12">
      <c r="A20" s="2" t="s">
        <v>522</v>
      </c>
      <c r="B20" s="2" t="s">
        <v>70</v>
      </c>
      <c r="C20" s="2">
        <v>0</v>
      </c>
      <c r="D20" s="2">
        <v>0</v>
      </c>
      <c r="E20" s="2" t="s">
        <v>42</v>
      </c>
      <c r="F20" s="2" t="s">
        <v>180</v>
      </c>
      <c r="G20" s="2" t="s">
        <v>689</v>
      </c>
      <c r="H20" s="4" t="s">
        <v>1102</v>
      </c>
      <c r="I20" s="2" t="s">
        <v>46</v>
      </c>
      <c r="J20" s="6">
        <v>3</v>
      </c>
      <c r="K20" s="12">
        <v>46156</v>
      </c>
      <c r="L20" s="6"/>
    </row>
    <row r="21" spans="1:12" ht="14" customHeight="1">
      <c r="A21" s="2" t="s">
        <v>522</v>
      </c>
      <c r="B21" s="2" t="s">
        <v>79</v>
      </c>
      <c r="C21" s="2">
        <v>0</v>
      </c>
      <c r="D21" s="2">
        <v>0</v>
      </c>
      <c r="E21" s="2" t="s">
        <v>42</v>
      </c>
      <c r="F21" s="2" t="s">
        <v>218</v>
      </c>
      <c r="G21" s="10" t="s">
        <v>72</v>
      </c>
      <c r="H21" s="4" t="s">
        <v>1102</v>
      </c>
      <c r="I21" s="2" t="s">
        <v>46</v>
      </c>
      <c r="J21" s="6">
        <v>4</v>
      </c>
      <c r="K21" s="12">
        <v>46156</v>
      </c>
      <c r="L21" s="6"/>
    </row>
    <row r="22" spans="1:12" ht="14" customHeight="1">
      <c r="A22" s="2" t="s">
        <v>522</v>
      </c>
      <c r="B22" s="2" t="s">
        <v>85</v>
      </c>
      <c r="C22" s="2">
        <v>0</v>
      </c>
      <c r="D22" s="2">
        <v>0</v>
      </c>
      <c r="E22" s="2" t="s">
        <v>42</v>
      </c>
      <c r="F22" s="2" t="s">
        <v>196</v>
      </c>
      <c r="G22" s="10" t="s">
        <v>72</v>
      </c>
      <c r="H22" s="4" t="s">
        <v>1102</v>
      </c>
      <c r="I22" s="2" t="s">
        <v>46</v>
      </c>
      <c r="J22" s="6">
        <v>5</v>
      </c>
      <c r="K22" s="12">
        <v>46156</v>
      </c>
      <c r="L22" s="6"/>
    </row>
    <row r="23" spans="1:12" ht="14" customHeight="1">
      <c r="A23" s="2" t="s">
        <v>522</v>
      </c>
      <c r="B23" s="2" t="s">
        <v>92</v>
      </c>
      <c r="C23" s="2">
        <v>0</v>
      </c>
      <c r="D23" s="2">
        <v>0</v>
      </c>
      <c r="E23" s="2" t="s">
        <v>42</v>
      </c>
      <c r="F23" s="2" t="s">
        <v>201</v>
      </c>
      <c r="G23" s="10" t="s">
        <v>72</v>
      </c>
      <c r="H23" s="4" t="s">
        <v>1102</v>
      </c>
      <c r="I23" s="2" t="s">
        <v>46</v>
      </c>
      <c r="J23" s="6">
        <v>6</v>
      </c>
      <c r="K23" s="12">
        <v>46156</v>
      </c>
      <c r="L23" s="6"/>
    </row>
    <row r="24" spans="1:12" ht="14" customHeight="1">
      <c r="A24" s="2"/>
      <c r="B24" s="2"/>
      <c r="C24" s="2"/>
      <c r="D24" s="2"/>
      <c r="E24" s="2"/>
      <c r="F24" s="2"/>
      <c r="G24" s="10"/>
      <c r="H24" s="4"/>
      <c r="I24" s="2"/>
      <c r="J24" s="6"/>
      <c r="K24" s="12"/>
      <c r="L24" s="6"/>
    </row>
    <row r="25" spans="1:12" ht="14" customHeight="1">
      <c r="A25" s="2" t="s">
        <v>524</v>
      </c>
      <c r="B25" s="2" t="s">
        <v>51</v>
      </c>
      <c r="C25" s="2">
        <v>10</v>
      </c>
      <c r="D25" s="2">
        <v>10</v>
      </c>
      <c r="E25" s="2" t="s">
        <v>62</v>
      </c>
      <c r="F25" s="2" t="s">
        <v>987</v>
      </c>
      <c r="G25" s="10">
        <v>46157</v>
      </c>
      <c r="H25" s="4" t="s">
        <v>588</v>
      </c>
      <c r="I25" s="2" t="s">
        <v>46</v>
      </c>
      <c r="J25" s="6">
        <v>1</v>
      </c>
      <c r="K25" s="12">
        <v>46156</v>
      </c>
      <c r="L25" s="6" t="s">
        <v>589</v>
      </c>
    </row>
    <row r="26" spans="1:12" ht="14" customHeight="1">
      <c r="A26" s="2" t="s">
        <v>524</v>
      </c>
      <c r="B26" s="2" t="s">
        <v>61</v>
      </c>
      <c r="C26" s="2">
        <v>0</v>
      </c>
      <c r="D26" s="2">
        <v>0</v>
      </c>
      <c r="E26" s="2" t="s">
        <v>42</v>
      </c>
      <c r="F26" s="2" t="s">
        <v>175</v>
      </c>
      <c r="G26" s="2" t="s">
        <v>701</v>
      </c>
      <c r="H26" s="4" t="s">
        <v>1108</v>
      </c>
      <c r="I26" s="2" t="s">
        <v>46</v>
      </c>
      <c r="J26" s="6">
        <v>2</v>
      </c>
      <c r="K26" s="12">
        <v>46156</v>
      </c>
      <c r="L26" s="6"/>
    </row>
    <row r="27" spans="1:12" ht="14" customHeight="1">
      <c r="A27" s="2" t="s">
        <v>524</v>
      </c>
      <c r="B27" s="2" t="s">
        <v>70</v>
      </c>
      <c r="C27" s="2">
        <v>0</v>
      </c>
      <c r="D27" s="2">
        <v>0</v>
      </c>
      <c r="E27" s="2" t="s">
        <v>42</v>
      </c>
      <c r="F27" s="2" t="s">
        <v>180</v>
      </c>
      <c r="G27" s="2" t="s">
        <v>701</v>
      </c>
      <c r="H27" s="4" t="s">
        <v>1102</v>
      </c>
      <c r="I27" s="2" t="s">
        <v>46</v>
      </c>
      <c r="J27" s="6">
        <v>3</v>
      </c>
      <c r="K27" s="12">
        <v>46156</v>
      </c>
      <c r="L27" s="6"/>
    </row>
    <row r="28" spans="1:12" ht="14" customHeight="1">
      <c r="A28" s="2" t="s">
        <v>524</v>
      </c>
      <c r="B28" s="2" t="s">
        <v>79</v>
      </c>
      <c r="C28" s="2">
        <v>0</v>
      </c>
      <c r="D28" s="2">
        <v>0</v>
      </c>
      <c r="E28" s="2" t="s">
        <v>42</v>
      </c>
      <c r="F28" s="2" t="s">
        <v>218</v>
      </c>
      <c r="G28" s="10" t="s">
        <v>72</v>
      </c>
      <c r="H28" s="4" t="s">
        <v>1102</v>
      </c>
      <c r="I28" s="2" t="s">
        <v>46</v>
      </c>
      <c r="J28" s="6">
        <v>4</v>
      </c>
      <c r="K28" s="12">
        <v>46156</v>
      </c>
      <c r="L28" s="6"/>
    </row>
    <row r="29" spans="1:12" ht="14" customHeight="1">
      <c r="A29" s="2" t="s">
        <v>524</v>
      </c>
      <c r="B29" s="2" t="s">
        <v>85</v>
      </c>
      <c r="C29" s="2">
        <v>0</v>
      </c>
      <c r="D29" s="2">
        <v>0</v>
      </c>
      <c r="E29" s="2" t="s">
        <v>42</v>
      </c>
      <c r="F29" s="2" t="s">
        <v>196</v>
      </c>
      <c r="G29" s="10" t="s">
        <v>72</v>
      </c>
      <c r="H29" s="4" t="s">
        <v>1102</v>
      </c>
      <c r="I29" s="2" t="s">
        <v>46</v>
      </c>
      <c r="J29" s="6">
        <v>5</v>
      </c>
      <c r="K29" s="12">
        <v>46156</v>
      </c>
      <c r="L29" s="6"/>
    </row>
    <row r="30" spans="1:12" ht="14" customHeight="1">
      <c r="A30" s="2" t="s">
        <v>524</v>
      </c>
      <c r="B30" s="2" t="s">
        <v>92</v>
      </c>
      <c r="C30" s="2">
        <v>0</v>
      </c>
      <c r="D30" s="2">
        <v>0</v>
      </c>
      <c r="E30" s="2" t="s">
        <v>42</v>
      </c>
      <c r="F30" s="2" t="s">
        <v>201</v>
      </c>
      <c r="G30" s="2" t="s">
        <v>72</v>
      </c>
      <c r="H30" s="4" t="s">
        <v>1102</v>
      </c>
      <c r="I30" s="2" t="s">
        <v>46</v>
      </c>
      <c r="J30" s="6">
        <v>6</v>
      </c>
      <c r="K30" s="12">
        <v>46156</v>
      </c>
      <c r="L30" s="6"/>
    </row>
    <row r="31" spans="1:12" ht="14" customHeight="1">
      <c r="A31" s="2"/>
      <c r="B31" s="2"/>
      <c r="C31" s="2"/>
      <c r="D31" s="2"/>
      <c r="E31" s="2"/>
      <c r="F31" s="2"/>
      <c r="G31" s="2"/>
      <c r="H31" s="4"/>
      <c r="I31" s="2"/>
      <c r="J31" s="6"/>
      <c r="K31" s="12"/>
      <c r="L31" s="6"/>
    </row>
    <row r="32" spans="1:12" ht="14" customHeight="1">
      <c r="A32" s="2" t="s">
        <v>526</v>
      </c>
      <c r="B32" s="2" t="s">
        <v>51</v>
      </c>
      <c r="C32" s="2">
        <v>5</v>
      </c>
      <c r="D32" s="2">
        <v>5</v>
      </c>
      <c r="E32" s="2" t="s">
        <v>62</v>
      </c>
      <c r="F32" s="2" t="s">
        <v>134</v>
      </c>
      <c r="G32" s="10">
        <v>46161</v>
      </c>
      <c r="H32" s="4" t="s">
        <v>595</v>
      </c>
      <c r="I32" s="2" t="s">
        <v>46</v>
      </c>
      <c r="J32" s="6">
        <v>1</v>
      </c>
      <c r="K32" s="12">
        <v>46156</v>
      </c>
      <c r="L32" s="6" t="s">
        <v>596</v>
      </c>
    </row>
    <row r="33" spans="1:12" ht="14" customHeight="1">
      <c r="A33" s="2" t="s">
        <v>526</v>
      </c>
      <c r="B33" s="2" t="s">
        <v>61</v>
      </c>
      <c r="C33" s="2">
        <v>0</v>
      </c>
      <c r="D33" s="2">
        <v>0</v>
      </c>
      <c r="E33" s="2" t="s">
        <v>42</v>
      </c>
      <c r="F33" s="2" t="s">
        <v>134</v>
      </c>
      <c r="G33" s="2" t="s">
        <v>918</v>
      </c>
      <c r="H33" s="4" t="s">
        <v>919</v>
      </c>
      <c r="I33" s="2" t="s">
        <v>46</v>
      </c>
      <c r="J33" s="6">
        <v>2</v>
      </c>
      <c r="K33" s="12">
        <v>46156</v>
      </c>
      <c r="L33" s="6"/>
    </row>
    <row r="34" spans="1:12" ht="14" customHeight="1">
      <c r="A34" s="2" t="s">
        <v>526</v>
      </c>
      <c r="B34" s="2" t="s">
        <v>70</v>
      </c>
      <c r="C34" s="2">
        <v>0</v>
      </c>
      <c r="D34" s="2">
        <v>0</v>
      </c>
      <c r="E34" s="2" t="s">
        <v>42</v>
      </c>
      <c r="F34" s="2" t="s">
        <v>134</v>
      </c>
      <c r="G34" s="2" t="s">
        <v>918</v>
      </c>
      <c r="H34" s="4" t="s">
        <v>919</v>
      </c>
      <c r="I34" s="2" t="s">
        <v>46</v>
      </c>
      <c r="J34" s="6">
        <v>3</v>
      </c>
      <c r="K34" s="12">
        <v>46156</v>
      </c>
      <c r="L34" s="6"/>
    </row>
    <row r="35" spans="1:12" ht="14" customHeight="1">
      <c r="A35" s="2" t="s">
        <v>526</v>
      </c>
      <c r="B35" s="2" t="s">
        <v>79</v>
      </c>
      <c r="C35" s="2">
        <v>0</v>
      </c>
      <c r="D35" s="2">
        <v>0</v>
      </c>
      <c r="E35" s="2" t="s">
        <v>42</v>
      </c>
      <c r="F35" s="2" t="s">
        <v>134</v>
      </c>
      <c r="G35" s="10" t="s">
        <v>918</v>
      </c>
      <c r="H35" s="4" t="s">
        <v>919</v>
      </c>
      <c r="I35" s="2" t="s">
        <v>46</v>
      </c>
      <c r="J35" s="6">
        <v>4</v>
      </c>
      <c r="K35" s="12">
        <v>46156</v>
      </c>
      <c r="L35" s="6"/>
    </row>
    <row r="36" spans="1:12" ht="14" customHeight="1">
      <c r="A36" s="2" t="s">
        <v>526</v>
      </c>
      <c r="B36" s="2" t="s">
        <v>85</v>
      </c>
      <c r="C36" s="2">
        <v>0</v>
      </c>
      <c r="D36" s="2">
        <v>0</v>
      </c>
      <c r="E36" s="2" t="s">
        <v>42</v>
      </c>
      <c r="F36" s="2" t="s">
        <v>134</v>
      </c>
      <c r="G36" s="2" t="s">
        <v>918</v>
      </c>
      <c r="H36" s="4" t="s">
        <v>919</v>
      </c>
      <c r="I36" s="2" t="s">
        <v>46</v>
      </c>
      <c r="J36" s="6">
        <v>5</v>
      </c>
      <c r="K36" s="12">
        <v>46156</v>
      </c>
      <c r="L36" s="6"/>
    </row>
    <row r="37" spans="1:12" ht="14" customHeight="1">
      <c r="A37" s="2" t="s">
        <v>526</v>
      </c>
      <c r="B37" s="2" t="s">
        <v>92</v>
      </c>
      <c r="C37" s="2">
        <v>0</v>
      </c>
      <c r="D37" s="2">
        <v>0</v>
      </c>
      <c r="E37" s="2" t="s">
        <v>42</v>
      </c>
      <c r="F37" s="2" t="s">
        <v>134</v>
      </c>
      <c r="G37" s="2" t="s">
        <v>918</v>
      </c>
      <c r="H37" s="4" t="s">
        <v>919</v>
      </c>
      <c r="I37" s="2" t="s">
        <v>46</v>
      </c>
      <c r="J37" s="6">
        <v>6</v>
      </c>
      <c r="K37" s="12">
        <v>46156</v>
      </c>
      <c r="L37" s="6"/>
    </row>
    <row r="38" spans="1:12">
      <c r="A38" s="2"/>
      <c r="B38" s="2"/>
      <c r="C38" s="2"/>
      <c r="D38" s="2"/>
      <c r="E38" s="2"/>
      <c r="F38" s="2"/>
      <c r="G38" s="2"/>
      <c r="H38" s="4"/>
      <c r="I38" s="2"/>
      <c r="J38" s="6"/>
      <c r="K38" s="6"/>
      <c r="L38" s="6"/>
    </row>
    <row r="39" spans="1:12">
      <c r="A39" s="2" t="s">
        <v>529</v>
      </c>
      <c r="B39" s="2" t="s">
        <v>51</v>
      </c>
      <c r="C39" s="2">
        <v>10</v>
      </c>
      <c r="D39" s="2">
        <v>10</v>
      </c>
      <c r="E39" s="2" t="s">
        <v>62</v>
      </c>
      <c r="F39" s="2" t="s">
        <v>715</v>
      </c>
      <c r="G39" s="10">
        <v>46157</v>
      </c>
      <c r="H39" s="4" t="s">
        <v>1109</v>
      </c>
      <c r="I39" s="2" t="s">
        <v>46</v>
      </c>
      <c r="J39" s="6">
        <v>1</v>
      </c>
      <c r="K39" s="12">
        <v>46156</v>
      </c>
      <c r="L39" s="6" t="s">
        <v>603</v>
      </c>
    </row>
    <row r="40" spans="1:12" ht="56">
      <c r="A40" s="2" t="s">
        <v>529</v>
      </c>
      <c r="B40" s="2" t="s">
        <v>61</v>
      </c>
      <c r="C40" s="2">
        <v>0</v>
      </c>
      <c r="D40" s="2">
        <v>0</v>
      </c>
      <c r="E40" s="2" t="s">
        <v>42</v>
      </c>
      <c r="F40" s="2" t="s">
        <v>175</v>
      </c>
      <c r="G40" s="2" t="s">
        <v>72</v>
      </c>
      <c r="H40" s="4" t="s">
        <v>607</v>
      </c>
      <c r="I40" s="2" t="s">
        <v>46</v>
      </c>
      <c r="J40" s="6">
        <v>2</v>
      </c>
      <c r="K40" s="12">
        <v>46156</v>
      </c>
      <c r="L40" s="6"/>
    </row>
    <row r="41" spans="1:12">
      <c r="A41" s="2" t="s">
        <v>529</v>
      </c>
      <c r="B41" s="2" t="s">
        <v>70</v>
      </c>
      <c r="C41" s="2">
        <v>0</v>
      </c>
      <c r="D41" s="2">
        <v>0</v>
      </c>
      <c r="E41" s="2" t="s">
        <v>42</v>
      </c>
      <c r="F41" s="2" t="s">
        <v>175</v>
      </c>
      <c r="G41" s="2" t="s">
        <v>72</v>
      </c>
      <c r="H41" s="4" t="s">
        <v>1110</v>
      </c>
      <c r="I41" s="2" t="s">
        <v>46</v>
      </c>
      <c r="J41" s="6">
        <v>3</v>
      </c>
      <c r="K41" s="12">
        <v>46156</v>
      </c>
      <c r="L41" s="6"/>
    </row>
    <row r="42" spans="1:12">
      <c r="A42" s="2" t="s">
        <v>529</v>
      </c>
      <c r="B42" s="2" t="s">
        <v>79</v>
      </c>
      <c r="C42" s="2">
        <v>0</v>
      </c>
      <c r="D42" s="2">
        <v>0</v>
      </c>
      <c r="E42" s="2" t="s">
        <v>42</v>
      </c>
      <c r="F42" s="2" t="s">
        <v>175</v>
      </c>
      <c r="G42" s="2" t="s">
        <v>72</v>
      </c>
      <c r="H42" s="4" t="s">
        <v>1110</v>
      </c>
      <c r="I42" s="2" t="s">
        <v>46</v>
      </c>
      <c r="J42" s="6">
        <v>4</v>
      </c>
      <c r="K42" s="12">
        <v>46156</v>
      </c>
      <c r="L42" s="6"/>
    </row>
    <row r="43" spans="1:12">
      <c r="A43" s="2" t="s">
        <v>529</v>
      </c>
      <c r="B43" s="2" t="s">
        <v>85</v>
      </c>
      <c r="C43" s="2">
        <v>0</v>
      </c>
      <c r="D43" s="2">
        <v>0</v>
      </c>
      <c r="E43" s="2" t="s">
        <v>42</v>
      </c>
      <c r="F43" s="2" t="s">
        <v>196</v>
      </c>
      <c r="G43" s="2" t="s">
        <v>72</v>
      </c>
      <c r="H43" s="4" t="s">
        <v>1110</v>
      </c>
      <c r="I43" s="2" t="s">
        <v>46</v>
      </c>
      <c r="J43" s="6">
        <v>5</v>
      </c>
      <c r="K43" s="12">
        <v>46156</v>
      </c>
      <c r="L43" s="6"/>
    </row>
    <row r="44" spans="1:12">
      <c r="A44" s="6" t="s">
        <v>529</v>
      </c>
      <c r="B44" s="6" t="s">
        <v>92</v>
      </c>
      <c r="C44" s="6">
        <v>0</v>
      </c>
      <c r="D44" s="6">
        <v>0</v>
      </c>
      <c r="E44" s="6" t="s">
        <v>42</v>
      </c>
      <c r="F44" s="6" t="s">
        <v>201</v>
      </c>
      <c r="G44" s="6" t="s">
        <v>72</v>
      </c>
      <c r="H44" s="5" t="s">
        <v>1110</v>
      </c>
      <c r="I44" s="6" t="s">
        <v>46</v>
      </c>
      <c r="J44" s="6">
        <v>6</v>
      </c>
      <c r="K44" s="12">
        <v>46156</v>
      </c>
      <c r="L44" s="6"/>
    </row>
    <row r="45" spans="1:12">
      <c r="A45" s="6"/>
      <c r="B45" s="6"/>
      <c r="C45" s="6"/>
      <c r="D45" s="6"/>
      <c r="E45" s="6"/>
      <c r="F45" s="6"/>
      <c r="G45" s="6"/>
      <c r="H45" s="5"/>
      <c r="I45" s="6"/>
      <c r="J45" s="6"/>
      <c r="K45" s="6"/>
      <c r="L45" s="6"/>
    </row>
    <row r="46" spans="1:12">
      <c r="A46" s="6" t="s">
        <v>530</v>
      </c>
      <c r="B46" s="6" t="s">
        <v>51</v>
      </c>
      <c r="C46" s="6">
        <v>10</v>
      </c>
      <c r="D46" s="6">
        <v>10</v>
      </c>
      <c r="E46" s="6" t="s">
        <v>62</v>
      </c>
      <c r="F46" s="6" t="s">
        <v>715</v>
      </c>
      <c r="G46" s="12">
        <v>46157</v>
      </c>
      <c r="H46" s="5" t="s">
        <v>1111</v>
      </c>
      <c r="I46" s="6" t="s">
        <v>46</v>
      </c>
      <c r="J46" s="6">
        <v>1</v>
      </c>
      <c r="K46" s="12">
        <v>46156</v>
      </c>
      <c r="L46" s="6" t="s">
        <v>609</v>
      </c>
    </row>
    <row r="47" spans="1:12">
      <c r="A47" s="6" t="s">
        <v>530</v>
      </c>
      <c r="B47" s="6" t="s">
        <v>61</v>
      </c>
      <c r="C47" s="2">
        <v>0</v>
      </c>
      <c r="D47" s="2">
        <v>0</v>
      </c>
      <c r="E47" s="2" t="s">
        <v>42</v>
      </c>
      <c r="F47" s="6" t="s">
        <v>196</v>
      </c>
      <c r="G47" s="6" t="s">
        <v>72</v>
      </c>
      <c r="H47" s="5" t="s">
        <v>1112</v>
      </c>
      <c r="I47" s="6" t="s">
        <v>46</v>
      </c>
      <c r="J47" s="6">
        <v>2</v>
      </c>
      <c r="K47" s="12">
        <v>46156</v>
      </c>
      <c r="L47" s="6"/>
    </row>
    <row r="48" spans="1:12">
      <c r="A48" s="6" t="s">
        <v>530</v>
      </c>
      <c r="B48" s="6" t="s">
        <v>70</v>
      </c>
      <c r="C48" s="6">
        <v>0</v>
      </c>
      <c r="D48" s="6">
        <v>0</v>
      </c>
      <c r="E48" s="6" t="s">
        <v>42</v>
      </c>
      <c r="F48" s="6" t="s">
        <v>175</v>
      </c>
      <c r="G48" s="6" t="s">
        <v>72</v>
      </c>
      <c r="H48" s="5" t="s">
        <v>1113</v>
      </c>
      <c r="I48" s="6" t="s">
        <v>46</v>
      </c>
      <c r="J48" s="6">
        <v>3</v>
      </c>
      <c r="K48" s="12">
        <v>46156</v>
      </c>
      <c r="L48" s="6"/>
    </row>
    <row r="49" spans="1:12">
      <c r="A49" s="6" t="s">
        <v>530</v>
      </c>
      <c r="B49" s="6" t="s">
        <v>79</v>
      </c>
      <c r="C49" s="6">
        <v>0</v>
      </c>
      <c r="D49" s="6">
        <v>0</v>
      </c>
      <c r="E49" s="6" t="s">
        <v>42</v>
      </c>
      <c r="F49" s="6" t="s">
        <v>175</v>
      </c>
      <c r="G49" s="6" t="s">
        <v>72</v>
      </c>
      <c r="H49" s="5" t="s">
        <v>1113</v>
      </c>
      <c r="I49" s="6" t="s">
        <v>46</v>
      </c>
      <c r="J49" s="6">
        <v>4</v>
      </c>
      <c r="K49" s="12">
        <v>46156</v>
      </c>
      <c r="L49" s="6"/>
    </row>
    <row r="50" spans="1:12">
      <c r="A50" s="6" t="s">
        <v>530</v>
      </c>
      <c r="B50" s="6" t="s">
        <v>85</v>
      </c>
      <c r="C50" s="2">
        <v>0</v>
      </c>
      <c r="D50" s="2">
        <v>0</v>
      </c>
      <c r="E50" s="2" t="s">
        <v>42</v>
      </c>
      <c r="F50" s="6" t="s">
        <v>196</v>
      </c>
      <c r="G50" s="6" t="s">
        <v>932</v>
      </c>
      <c r="H50" s="5" t="s">
        <v>1114</v>
      </c>
      <c r="I50" s="6" t="s">
        <v>46</v>
      </c>
      <c r="J50" s="6">
        <v>5</v>
      </c>
      <c r="K50" s="12">
        <v>46156</v>
      </c>
      <c r="L50" s="6"/>
    </row>
    <row r="51" spans="1:12">
      <c r="A51" s="6" t="s">
        <v>530</v>
      </c>
      <c r="B51" s="6" t="s">
        <v>92</v>
      </c>
      <c r="C51" s="6">
        <v>0</v>
      </c>
      <c r="D51" s="6">
        <v>0</v>
      </c>
      <c r="E51" s="6" t="s">
        <v>42</v>
      </c>
      <c r="F51" s="6" t="s">
        <v>201</v>
      </c>
      <c r="G51" s="6" t="s">
        <v>72</v>
      </c>
      <c r="H51" s="5" t="s">
        <v>1113</v>
      </c>
      <c r="I51" s="6" t="s">
        <v>46</v>
      </c>
      <c r="J51" s="6">
        <v>6</v>
      </c>
      <c r="K51" s="12">
        <v>46156</v>
      </c>
      <c r="L51" s="6"/>
    </row>
    <row r="52" spans="1:12">
      <c r="A52" s="6"/>
      <c r="B52" s="6"/>
      <c r="C52" s="6"/>
      <c r="D52" s="6"/>
      <c r="E52" s="6"/>
      <c r="F52" s="6"/>
      <c r="G52" s="6"/>
      <c r="H52" s="5"/>
      <c r="I52" s="6"/>
      <c r="J52" s="6"/>
      <c r="K52" s="6"/>
      <c r="L52" s="6"/>
    </row>
    <row r="53" spans="1:12">
      <c r="A53" s="6" t="s">
        <v>534</v>
      </c>
      <c r="B53" s="6" t="s">
        <v>51</v>
      </c>
      <c r="C53" s="6">
        <v>0</v>
      </c>
      <c r="D53" s="6">
        <v>0</v>
      </c>
      <c r="E53" s="6" t="s">
        <v>316</v>
      </c>
      <c r="F53" s="6" t="s">
        <v>169</v>
      </c>
      <c r="G53" s="6"/>
      <c r="H53" s="5" t="s">
        <v>938</v>
      </c>
      <c r="I53" s="6" t="s">
        <v>56</v>
      </c>
      <c r="J53" s="6">
        <v>1</v>
      </c>
      <c r="K53" s="12">
        <v>46156</v>
      </c>
      <c r="L53" s="6" t="s">
        <v>616</v>
      </c>
    </row>
    <row r="54" spans="1:12">
      <c r="A54" s="6" t="s">
        <v>534</v>
      </c>
      <c r="B54" s="6" t="s">
        <v>61</v>
      </c>
      <c r="C54" s="6">
        <v>0</v>
      </c>
      <c r="D54" s="6">
        <v>0</v>
      </c>
      <c r="E54" s="6" t="s">
        <v>937</v>
      </c>
      <c r="F54" s="6" t="s">
        <v>169</v>
      </c>
      <c r="G54" s="6"/>
      <c r="H54" s="5" t="s">
        <v>1115</v>
      </c>
      <c r="I54" s="6" t="s">
        <v>56</v>
      </c>
      <c r="J54" s="6">
        <v>2</v>
      </c>
      <c r="K54" s="12">
        <v>46156</v>
      </c>
      <c r="L54" s="6"/>
    </row>
    <row r="55" spans="1:12">
      <c r="A55" s="6" t="s">
        <v>534</v>
      </c>
      <c r="B55" s="6" t="s">
        <v>70</v>
      </c>
      <c r="C55" s="6">
        <v>0</v>
      </c>
      <c r="D55" s="6">
        <v>0</v>
      </c>
      <c r="E55" s="6" t="s">
        <v>937</v>
      </c>
      <c r="F55" s="6" t="s">
        <v>169</v>
      </c>
      <c r="G55" s="6"/>
      <c r="H55" s="5" t="s">
        <v>1115</v>
      </c>
      <c r="I55" s="6" t="s">
        <v>56</v>
      </c>
      <c r="J55" s="6">
        <v>3</v>
      </c>
      <c r="K55" s="12">
        <v>46156</v>
      </c>
      <c r="L55" s="6"/>
    </row>
    <row r="56" spans="1:12">
      <c r="A56" s="6" t="s">
        <v>534</v>
      </c>
      <c r="B56" s="6" t="s">
        <v>79</v>
      </c>
      <c r="C56" s="6">
        <v>0</v>
      </c>
      <c r="D56" s="6">
        <v>0</v>
      </c>
      <c r="E56" s="6" t="s">
        <v>937</v>
      </c>
      <c r="F56" s="6" t="s">
        <v>169</v>
      </c>
      <c r="G56" s="6"/>
      <c r="H56" s="5" t="s">
        <v>1115</v>
      </c>
      <c r="I56" s="6" t="s">
        <v>56</v>
      </c>
      <c r="J56" s="6">
        <v>4</v>
      </c>
      <c r="K56" s="12">
        <v>46156</v>
      </c>
      <c r="L56" s="6"/>
    </row>
    <row r="57" spans="1:12">
      <c r="A57" s="6" t="s">
        <v>534</v>
      </c>
      <c r="B57" s="6" t="s">
        <v>85</v>
      </c>
      <c r="C57" s="6">
        <v>0</v>
      </c>
      <c r="D57" s="6">
        <v>0</v>
      </c>
      <c r="E57" s="6" t="s">
        <v>937</v>
      </c>
      <c r="F57" s="6" t="s">
        <v>169</v>
      </c>
      <c r="G57" s="6"/>
      <c r="H57" s="5" t="s">
        <v>1115</v>
      </c>
      <c r="I57" s="6" t="s">
        <v>56</v>
      </c>
      <c r="J57" s="6">
        <v>5</v>
      </c>
      <c r="K57" s="12">
        <v>46156</v>
      </c>
      <c r="L57" s="6"/>
    </row>
    <row r="58" spans="1:12">
      <c r="A58" s="6" t="s">
        <v>534</v>
      </c>
      <c r="B58" s="6" t="s">
        <v>92</v>
      </c>
      <c r="C58" s="6">
        <v>0</v>
      </c>
      <c r="D58" s="6">
        <v>0</v>
      </c>
      <c r="E58" s="6" t="s">
        <v>937</v>
      </c>
      <c r="F58" s="6" t="s">
        <v>169</v>
      </c>
      <c r="G58" s="6"/>
      <c r="H58" s="5" t="s">
        <v>1115</v>
      </c>
      <c r="I58" s="6" t="s">
        <v>56</v>
      </c>
      <c r="J58" s="6">
        <v>6</v>
      </c>
      <c r="K58" s="12">
        <v>46156</v>
      </c>
      <c r="L58" s="6"/>
    </row>
    <row r="59" spans="1:12">
      <c r="A59" s="6"/>
      <c r="B59" s="6"/>
      <c r="C59" s="6"/>
      <c r="D59" s="6"/>
      <c r="E59" s="6"/>
      <c r="F59" s="6"/>
      <c r="G59" s="6"/>
      <c r="H59" s="5"/>
      <c r="I59" s="6"/>
      <c r="J59" s="6"/>
      <c r="K59" s="6"/>
      <c r="L59" s="6"/>
    </row>
    <row r="60" spans="1:12">
      <c r="A60" s="6" t="s">
        <v>535</v>
      </c>
      <c r="B60" s="6" t="s">
        <v>1098</v>
      </c>
      <c r="C60" s="6">
        <v>0</v>
      </c>
      <c r="D60" s="6">
        <v>0</v>
      </c>
      <c r="E60" s="6" t="s">
        <v>102</v>
      </c>
      <c r="F60" s="6" t="s">
        <v>134</v>
      </c>
      <c r="G60" s="6" t="s">
        <v>772</v>
      </c>
      <c r="H60" s="5" t="s">
        <v>1116</v>
      </c>
      <c r="I60" s="6" t="s">
        <v>46</v>
      </c>
      <c r="J60" s="6">
        <v>1</v>
      </c>
      <c r="K60" s="12">
        <v>46156</v>
      </c>
      <c r="L60" s="6" t="s">
        <v>940</v>
      </c>
    </row>
    <row r="61" spans="1:12">
      <c r="A61" s="6" t="s">
        <v>535</v>
      </c>
      <c r="B61" s="6" t="s">
        <v>1099</v>
      </c>
      <c r="C61" s="6">
        <v>0</v>
      </c>
      <c r="D61" s="6">
        <v>0</v>
      </c>
      <c r="E61" s="6" t="s">
        <v>42</v>
      </c>
      <c r="F61" s="6" t="s">
        <v>134</v>
      </c>
      <c r="G61" s="6" t="s">
        <v>772</v>
      </c>
      <c r="H61" s="5" t="s">
        <v>1102</v>
      </c>
      <c r="I61" s="6" t="s">
        <v>46</v>
      </c>
      <c r="J61" s="6">
        <v>2</v>
      </c>
      <c r="K61" s="12">
        <v>46156</v>
      </c>
      <c r="L61" s="6"/>
    </row>
    <row r="62" spans="1:12">
      <c r="A62" s="6" t="s">
        <v>535</v>
      </c>
      <c r="B62" s="6" t="s">
        <v>1100</v>
      </c>
      <c r="C62" s="6">
        <v>0</v>
      </c>
      <c r="D62" s="6">
        <v>0</v>
      </c>
      <c r="E62" s="6" t="s">
        <v>42</v>
      </c>
      <c r="F62" s="6" t="s">
        <v>134</v>
      </c>
      <c r="G62" s="6" t="s">
        <v>772</v>
      </c>
      <c r="H62" s="5" t="s">
        <v>1102</v>
      </c>
      <c r="I62" s="6" t="s">
        <v>46</v>
      </c>
      <c r="J62" s="6">
        <v>3</v>
      </c>
      <c r="K62" s="12">
        <v>46156</v>
      </c>
      <c r="L62" s="6"/>
    </row>
    <row r="63" spans="1:12">
      <c r="A63" s="6" t="s">
        <v>535</v>
      </c>
      <c r="B63" s="6" t="s">
        <v>1101</v>
      </c>
      <c r="C63" s="6">
        <v>0</v>
      </c>
      <c r="D63" s="6">
        <v>0</v>
      </c>
      <c r="E63" s="6" t="s">
        <v>42</v>
      </c>
      <c r="F63" s="6" t="s">
        <v>134</v>
      </c>
      <c r="G63" s="6" t="s">
        <v>772</v>
      </c>
      <c r="H63" s="5" t="s">
        <v>1102</v>
      </c>
      <c r="I63" s="6" t="s">
        <v>46</v>
      </c>
      <c r="J63" s="6">
        <v>4</v>
      </c>
      <c r="K63" s="12">
        <v>46156</v>
      </c>
      <c r="L63" s="6"/>
    </row>
    <row r="64" spans="1:12">
      <c r="H64" s="5"/>
    </row>
    <row r="65" spans="8:8">
      <c r="H65" s="5"/>
    </row>
    <row r="66" spans="8:8">
      <c r="H66" s="5"/>
    </row>
    <row r="67" spans="8:8">
      <c r="H67" s="5"/>
    </row>
    <row r="68" spans="8:8">
      <c r="H68" s="5"/>
    </row>
    <row r="69" spans="8:8">
      <c r="H69" s="5"/>
    </row>
    <row r="70" spans="8:8">
      <c r="H70" s="5"/>
    </row>
    <row r="71" spans="8:8">
      <c r="H71" s="5"/>
    </row>
    <row r="72" spans="8:8">
      <c r="H72" s="5"/>
    </row>
    <row r="73" spans="8:8">
      <c r="H73" s="5"/>
    </row>
    <row r="74" spans="8:8">
      <c r="H74" s="5"/>
    </row>
    <row r="75" spans="8:8">
      <c r="H75" s="5"/>
    </row>
    <row r="76" spans="8:8">
      <c r="H76" s="5"/>
    </row>
    <row r="77" spans="8:8">
      <c r="H77" s="5"/>
    </row>
    <row r="78" spans="8:8">
      <c r="H78" s="5"/>
    </row>
    <row r="79" spans="8:8">
      <c r="H79" s="5"/>
    </row>
    <row r="80" spans="8:8">
      <c r="H80" s="5"/>
    </row>
    <row r="81" spans="8:8">
      <c r="H81" s="5"/>
    </row>
    <row r="82" spans="8:8">
      <c r="H82" s="5"/>
    </row>
    <row r="83" spans="8:8">
      <c r="H83" s="5"/>
    </row>
    <row r="84" spans="8:8">
      <c r="H84" s="5"/>
    </row>
    <row r="85" spans="8:8">
      <c r="H85" s="5"/>
    </row>
    <row r="86" spans="8:8">
      <c r="H86" s="5"/>
    </row>
    <row r="87" spans="8:8">
      <c r="H87" s="5"/>
    </row>
    <row r="88" spans="8:8">
      <c r="H88" s="5"/>
    </row>
    <row r="89" spans="8:8">
      <c r="H89" s="5"/>
    </row>
    <row r="90" spans="8:8">
      <c r="H90" s="5"/>
    </row>
    <row r="91" spans="8:8">
      <c r="H91" s="5"/>
    </row>
    <row r="92" spans="8:8">
      <c r="H92" s="5"/>
    </row>
    <row r="93" spans="8:8">
      <c r="H93" s="5"/>
    </row>
    <row r="94" spans="8:8">
      <c r="H94" s="5"/>
    </row>
    <row r="95" spans="8:8">
      <c r="H95" s="5"/>
    </row>
    <row r="96" spans="8:8">
      <c r="H96" s="5"/>
    </row>
    <row r="97" spans="8:8">
      <c r="H97" s="5"/>
    </row>
    <row r="98" spans="8:8">
      <c r="H98" s="5"/>
    </row>
    <row r="99" spans="8:8">
      <c r="H99" s="5"/>
    </row>
    <row r="100" spans="8:8">
      <c r="H100" s="5"/>
    </row>
    <row r="101" spans="8:8">
      <c r="H101" s="5"/>
    </row>
    <row r="102" spans="8:8">
      <c r="H102" s="5"/>
    </row>
    <row r="103" spans="8:8">
      <c r="H103" s="5"/>
    </row>
    <row r="104" spans="8:8">
      <c r="H104" s="5"/>
    </row>
    <row r="105" spans="8:8">
      <c r="H105" s="5"/>
    </row>
    <row r="106" spans="8:8">
      <c r="H106" s="5"/>
    </row>
    <row r="107" spans="8:8">
      <c r="H107" s="5"/>
    </row>
    <row r="108" spans="8:8">
      <c r="H108" s="5"/>
    </row>
    <row r="109" spans="8:8">
      <c r="H109" s="5"/>
    </row>
    <row r="110" spans="8:8">
      <c r="H110" s="5"/>
    </row>
    <row r="111" spans="8:8">
      <c r="H111" s="5"/>
    </row>
    <row r="112" spans="8:8">
      <c r="H112" s="5"/>
    </row>
    <row r="113" spans="8:8">
      <c r="H113" s="5"/>
    </row>
    <row r="114" spans="8:8">
      <c r="H114" s="5"/>
    </row>
    <row r="115" spans="8:8">
      <c r="H115" s="5"/>
    </row>
    <row r="116" spans="8:8">
      <c r="H116" s="5"/>
    </row>
    <row r="117" spans="8:8">
      <c r="H117" s="5"/>
    </row>
    <row r="118" spans="8:8">
      <c r="H118" s="5"/>
    </row>
    <row r="119" spans="8:8">
      <c r="H119" s="5"/>
    </row>
    <row r="120" spans="8:8">
      <c r="H120" s="5"/>
    </row>
    <row r="121" spans="8:8">
      <c r="H121" s="5"/>
    </row>
    <row r="122" spans="8:8">
      <c r="H122" s="5"/>
    </row>
    <row r="123" spans="8:8">
      <c r="H123" s="5"/>
    </row>
    <row r="124" spans="8:8">
      <c r="H124" s="5"/>
    </row>
    <row r="125" spans="8:8">
      <c r="H125" s="5"/>
    </row>
    <row r="126" spans="8:8">
      <c r="H126" s="5"/>
    </row>
    <row r="127" spans="8:8">
      <c r="H127" s="5"/>
    </row>
    <row r="128" spans="8:8">
      <c r="H128" s="5"/>
    </row>
    <row r="129" spans="8:8">
      <c r="H129" s="5"/>
    </row>
    <row r="130" spans="8:8">
      <c r="H130" s="5"/>
    </row>
    <row r="131" spans="8:8">
      <c r="H131" s="5"/>
    </row>
    <row r="132" spans="8:8">
      <c r="H132" s="5"/>
    </row>
    <row r="133" spans="8:8">
      <c r="H133" s="5"/>
    </row>
    <row r="134" spans="8:8">
      <c r="H134" s="5"/>
    </row>
    <row r="135" spans="8:8">
      <c r="H135" s="5"/>
    </row>
    <row r="136" spans="8:8">
      <c r="H136" s="5"/>
    </row>
    <row r="137" spans="8:8">
      <c r="H137" s="5"/>
    </row>
    <row r="138" spans="8:8">
      <c r="H138" s="5"/>
    </row>
    <row r="139" spans="8:8">
      <c r="H139" s="5"/>
    </row>
    <row r="140" spans="8:8">
      <c r="H140" s="5"/>
    </row>
    <row r="141" spans="8:8">
      <c r="H141" s="5"/>
    </row>
    <row r="142" spans="8:8">
      <c r="H142" s="5"/>
    </row>
    <row r="143" spans="8:8">
      <c r="H143" s="5"/>
    </row>
    <row r="144" spans="8:8">
      <c r="H144" s="5"/>
    </row>
    <row r="145" spans="8:8">
      <c r="H145" s="5"/>
    </row>
    <row r="146" spans="8:8">
      <c r="H146" s="5"/>
    </row>
    <row r="147" spans="8:8">
      <c r="H147" s="5"/>
    </row>
    <row r="148" spans="8:8">
      <c r="H148" s="5"/>
    </row>
    <row r="149" spans="8:8">
      <c r="H149" s="5"/>
    </row>
    <row r="150" spans="8:8">
      <c r="H150" s="5"/>
    </row>
    <row r="151" spans="8:8">
      <c r="H151" s="5"/>
    </row>
    <row r="152" spans="8:8">
      <c r="H152" s="5"/>
    </row>
    <row r="153" spans="8:8">
      <c r="H153" s="5"/>
    </row>
    <row r="154" spans="8:8">
      <c r="H154" s="5"/>
    </row>
    <row r="155" spans="8:8">
      <c r="H155" s="5"/>
    </row>
    <row r="156" spans="8:8">
      <c r="H156" s="5"/>
    </row>
    <row r="157" spans="8:8">
      <c r="H157" s="5"/>
    </row>
    <row r="158" spans="8:8">
      <c r="H158" s="5"/>
    </row>
    <row r="159" spans="8:8">
      <c r="H159" s="5"/>
    </row>
    <row r="160" spans="8:8">
      <c r="H160" s="5"/>
    </row>
    <row r="161" spans="8:8">
      <c r="H161" s="5"/>
    </row>
    <row r="162" spans="8:8">
      <c r="H162" s="5"/>
    </row>
    <row r="163" spans="8:8">
      <c r="H163" s="5"/>
    </row>
    <row r="164" spans="8:8">
      <c r="H164" s="5"/>
    </row>
    <row r="165" spans="8:8">
      <c r="H165" s="5"/>
    </row>
    <row r="166" spans="8:8">
      <c r="H166" s="5"/>
    </row>
    <row r="167" spans="8:8">
      <c r="H167" s="5"/>
    </row>
    <row r="168" spans="8:8">
      <c r="H168" s="5"/>
    </row>
    <row r="169" spans="8:8">
      <c r="H169" s="5"/>
    </row>
    <row r="170" spans="8:8">
      <c r="H170" s="5"/>
    </row>
    <row r="171" spans="8:8">
      <c r="H171" s="5"/>
    </row>
    <row r="172" spans="8:8">
      <c r="H172" s="5"/>
    </row>
    <row r="173" spans="8:8">
      <c r="H173" s="5"/>
    </row>
    <row r="174" spans="8:8">
      <c r="H174" s="5"/>
    </row>
    <row r="175" spans="8:8">
      <c r="H175" s="5"/>
    </row>
    <row r="176" spans="8:8">
      <c r="H176" s="5"/>
    </row>
    <row r="177" spans="8:8">
      <c r="H177" s="5"/>
    </row>
    <row r="178" spans="8:8">
      <c r="H178" s="5"/>
    </row>
    <row r="179" spans="8:8">
      <c r="H179" s="5"/>
    </row>
    <row r="180" spans="8:8">
      <c r="H180" s="5"/>
    </row>
    <row r="181" spans="8:8">
      <c r="H181" s="5"/>
    </row>
    <row r="182" spans="8:8">
      <c r="H182" s="5"/>
    </row>
    <row r="183" spans="8:8">
      <c r="H183" s="5"/>
    </row>
    <row r="184" spans="8:8">
      <c r="H184" s="5"/>
    </row>
    <row r="185" spans="8:8">
      <c r="H185" s="5"/>
    </row>
    <row r="186" spans="8:8">
      <c r="H186" s="5"/>
    </row>
    <row r="187" spans="8:8">
      <c r="H187" s="5"/>
    </row>
    <row r="188" spans="8:8">
      <c r="H188" s="5"/>
    </row>
    <row r="189" spans="8:8">
      <c r="H189" s="5"/>
    </row>
    <row r="190" spans="8:8">
      <c r="H190" s="5"/>
    </row>
    <row r="191" spans="8:8">
      <c r="H191" s="5"/>
    </row>
    <row r="192" spans="8:8">
      <c r="H192" s="5"/>
    </row>
    <row r="193" spans="8:8">
      <c r="H193" s="5"/>
    </row>
    <row r="194" spans="8:8">
      <c r="H194" s="5"/>
    </row>
    <row r="195" spans="8:8">
      <c r="H195" s="5"/>
    </row>
    <row r="196" spans="8:8">
      <c r="H196" s="5"/>
    </row>
    <row r="197" spans="8:8">
      <c r="H197" s="5"/>
    </row>
    <row r="198" spans="8:8">
      <c r="H198" s="5"/>
    </row>
    <row r="199" spans="8:8">
      <c r="H199" s="5"/>
    </row>
    <row r="200" spans="8:8">
      <c r="H200" s="5"/>
    </row>
    <row r="201" spans="8:8">
      <c r="H201" s="5"/>
    </row>
    <row r="202" spans="8:8">
      <c r="H202" s="5"/>
    </row>
    <row r="203" spans="8:8">
      <c r="H203" s="5"/>
    </row>
    <row r="204" spans="8:8">
      <c r="H204" s="5"/>
    </row>
    <row r="205" spans="8:8">
      <c r="H205" s="5"/>
    </row>
    <row r="206" spans="8:8">
      <c r="H206" s="5"/>
    </row>
    <row r="207" spans="8:8">
      <c r="H207" s="5"/>
    </row>
    <row r="208" spans="8:8">
      <c r="H208" s="5"/>
    </row>
    <row r="209" spans="8:8">
      <c r="H209" s="5"/>
    </row>
    <row r="210" spans="8:8">
      <c r="H210" s="5"/>
    </row>
    <row r="211" spans="8:8">
      <c r="H211" s="5"/>
    </row>
    <row r="212" spans="8:8">
      <c r="H212" s="5"/>
    </row>
    <row r="213" spans="8:8">
      <c r="H213" s="5"/>
    </row>
    <row r="214" spans="8:8">
      <c r="H214" s="5"/>
    </row>
    <row r="215" spans="8:8">
      <c r="H215" s="5"/>
    </row>
    <row r="216" spans="8:8">
      <c r="H216" s="5"/>
    </row>
    <row r="217" spans="8:8">
      <c r="H217" s="5"/>
    </row>
    <row r="218" spans="8:8">
      <c r="H218" s="5"/>
    </row>
    <row r="219" spans="8:8">
      <c r="H219" s="5"/>
    </row>
    <row r="220" spans="8:8">
      <c r="H220" s="5"/>
    </row>
    <row r="221" spans="8:8">
      <c r="H221" s="5"/>
    </row>
    <row r="222" spans="8:8">
      <c r="H222" s="5"/>
    </row>
    <row r="223" spans="8:8">
      <c r="H223" s="5"/>
    </row>
    <row r="224" spans="8:8">
      <c r="H224" s="5"/>
    </row>
    <row r="225" spans="8:8">
      <c r="H225" s="5"/>
    </row>
    <row r="226" spans="8:8">
      <c r="H226" s="5"/>
    </row>
    <row r="227" spans="8:8">
      <c r="H227" s="5"/>
    </row>
    <row r="228" spans="8:8">
      <c r="H228" s="5"/>
    </row>
    <row r="229" spans="8:8">
      <c r="H229" s="5"/>
    </row>
    <row r="230" spans="8:8">
      <c r="H230" s="5"/>
    </row>
    <row r="231" spans="8:8">
      <c r="H231" s="5"/>
    </row>
    <row r="232" spans="8:8">
      <c r="H232" s="5"/>
    </row>
    <row r="233" spans="8:8">
      <c r="H233" s="5"/>
    </row>
    <row r="234" spans="8:8">
      <c r="H234" s="5"/>
    </row>
    <row r="235" spans="8:8">
      <c r="H235" s="5"/>
    </row>
    <row r="236" spans="8:8">
      <c r="H236" s="5"/>
    </row>
    <row r="237" spans="8:8">
      <c r="H237" s="5"/>
    </row>
    <row r="238" spans="8:8">
      <c r="H238" s="5"/>
    </row>
    <row r="239" spans="8:8">
      <c r="H239" s="5"/>
    </row>
    <row r="240" spans="8:8">
      <c r="H240" s="5"/>
    </row>
    <row r="241" spans="8:8">
      <c r="H241" s="5"/>
    </row>
    <row r="242" spans="8:8">
      <c r="H242" s="5"/>
    </row>
    <row r="243" spans="8:8">
      <c r="H243" s="5"/>
    </row>
    <row r="244" spans="8:8">
      <c r="H244" s="5"/>
    </row>
    <row r="245" spans="8:8">
      <c r="H245" s="5"/>
    </row>
    <row r="246" spans="8:8">
      <c r="H246" s="5"/>
    </row>
    <row r="247" spans="8:8">
      <c r="H247" s="5"/>
    </row>
    <row r="248" spans="8:8">
      <c r="H248" s="5"/>
    </row>
    <row r="249" spans="8:8">
      <c r="H249" s="5"/>
    </row>
    <row r="250" spans="8:8">
      <c r="H250" s="5"/>
    </row>
    <row r="251" spans="8:8">
      <c r="H251" s="5"/>
    </row>
    <row r="252" spans="8:8">
      <c r="H252" s="5"/>
    </row>
    <row r="253" spans="8:8">
      <c r="H253" s="5"/>
    </row>
    <row r="254" spans="8:8">
      <c r="H254" s="5"/>
    </row>
    <row r="255" spans="8:8">
      <c r="H255" s="5"/>
    </row>
    <row r="256" spans="8:8">
      <c r="H256" s="5"/>
    </row>
    <row r="257" spans="8:8">
      <c r="H257" s="5"/>
    </row>
    <row r="258" spans="8:8">
      <c r="H258" s="5"/>
    </row>
    <row r="259" spans="8:8">
      <c r="H259" s="5"/>
    </row>
    <row r="260" spans="8:8">
      <c r="H260" s="5"/>
    </row>
    <row r="261" spans="8:8">
      <c r="H261" s="5"/>
    </row>
    <row r="262" spans="8:8">
      <c r="H262" s="5"/>
    </row>
    <row r="263" spans="8:8">
      <c r="H263" s="5"/>
    </row>
    <row r="264" spans="8:8">
      <c r="H264" s="5"/>
    </row>
    <row r="265" spans="8:8">
      <c r="H265" s="5"/>
    </row>
    <row r="266" spans="8:8">
      <c r="H266" s="5"/>
    </row>
    <row r="267" spans="8:8">
      <c r="H267" s="5"/>
    </row>
    <row r="268" spans="8:8">
      <c r="H268" s="5"/>
    </row>
    <row r="269" spans="8:8">
      <c r="H269" s="5"/>
    </row>
    <row r="270" spans="8:8">
      <c r="H270" s="5"/>
    </row>
    <row r="271" spans="8:8">
      <c r="H271" s="5"/>
    </row>
    <row r="272" spans="8:8">
      <c r="H272" s="5"/>
    </row>
    <row r="273" spans="8:8">
      <c r="H273" s="5"/>
    </row>
    <row r="274" spans="8:8">
      <c r="H274" s="5"/>
    </row>
    <row r="275" spans="8:8">
      <c r="H275" s="5"/>
    </row>
    <row r="276" spans="8:8">
      <c r="H276" s="5"/>
    </row>
    <row r="277" spans="8:8">
      <c r="H277" s="5"/>
    </row>
    <row r="278" spans="8:8">
      <c r="H278" s="5"/>
    </row>
    <row r="279" spans="8:8">
      <c r="H279" s="5"/>
    </row>
    <row r="280" spans="8:8">
      <c r="H280" s="5"/>
    </row>
    <row r="281" spans="8:8">
      <c r="H281" s="5"/>
    </row>
    <row r="282" spans="8:8">
      <c r="H282" s="5"/>
    </row>
    <row r="283" spans="8:8">
      <c r="H283" s="5"/>
    </row>
    <row r="284" spans="8:8">
      <c r="H284" s="5"/>
    </row>
    <row r="285" spans="8:8">
      <c r="H285" s="5"/>
    </row>
    <row r="286" spans="8:8">
      <c r="H286" s="5"/>
    </row>
    <row r="287" spans="8:8">
      <c r="H287" s="5"/>
    </row>
    <row r="288" spans="8:8">
      <c r="H288" s="5"/>
    </row>
    <row r="289" spans="8:8">
      <c r="H289" s="5"/>
    </row>
    <row r="290" spans="8:8">
      <c r="H290" s="5"/>
    </row>
    <row r="291" spans="8:8">
      <c r="H291" s="5"/>
    </row>
    <row r="292" spans="8:8">
      <c r="H292" s="5"/>
    </row>
    <row r="293" spans="8:8">
      <c r="H293" s="5"/>
    </row>
    <row r="294" spans="8:8">
      <c r="H294" s="5"/>
    </row>
    <row r="295" spans="8:8">
      <c r="H295" s="5"/>
    </row>
    <row r="296" spans="8:8">
      <c r="H296" s="5"/>
    </row>
    <row r="297" spans="8:8">
      <c r="H297" s="5"/>
    </row>
    <row r="298" spans="8:8">
      <c r="H298" s="5"/>
    </row>
    <row r="299" spans="8:8">
      <c r="H299" s="5"/>
    </row>
    <row r="300" spans="8:8">
      <c r="H300" s="5"/>
    </row>
    <row r="301" spans="8:8">
      <c r="H301" s="5"/>
    </row>
    <row r="302" spans="8:8">
      <c r="H302" s="5"/>
    </row>
    <row r="303" spans="8:8">
      <c r="H303" s="5"/>
    </row>
    <row r="304" spans="8:8">
      <c r="H304" s="5"/>
    </row>
    <row r="305" spans="8:8">
      <c r="H305" s="5"/>
    </row>
    <row r="306" spans="8:8">
      <c r="H306" s="5"/>
    </row>
    <row r="307" spans="8:8">
      <c r="H307" s="5"/>
    </row>
    <row r="308" spans="8:8">
      <c r="H308" s="5"/>
    </row>
    <row r="309" spans="8:8">
      <c r="H309" s="5"/>
    </row>
    <row r="310" spans="8:8">
      <c r="H310" s="5"/>
    </row>
    <row r="311" spans="8:8">
      <c r="H311" s="5"/>
    </row>
    <row r="312" spans="8:8">
      <c r="H312" s="5"/>
    </row>
    <row r="313" spans="8:8">
      <c r="H313" s="5"/>
    </row>
    <row r="314" spans="8:8">
      <c r="H314" s="5"/>
    </row>
    <row r="315" spans="8:8">
      <c r="H315" s="5"/>
    </row>
    <row r="316" spans="8:8">
      <c r="H316" s="5"/>
    </row>
    <row r="317" spans="8:8">
      <c r="H317" s="5"/>
    </row>
    <row r="318" spans="8:8">
      <c r="H318" s="5"/>
    </row>
    <row r="319" spans="8:8">
      <c r="H319" s="5"/>
    </row>
    <row r="320" spans="8:8">
      <c r="H320" s="5"/>
    </row>
    <row r="321" spans="8:8">
      <c r="H321" s="5"/>
    </row>
    <row r="322" spans="8:8">
      <c r="H322" s="5"/>
    </row>
    <row r="323" spans="8:8">
      <c r="H323" s="5"/>
    </row>
    <row r="324" spans="8:8">
      <c r="H324" s="5"/>
    </row>
    <row r="325" spans="8:8">
      <c r="H325" s="5"/>
    </row>
    <row r="326" spans="8:8">
      <c r="H326" s="5"/>
    </row>
    <row r="327" spans="8:8">
      <c r="H327" s="5"/>
    </row>
    <row r="328" spans="8:8">
      <c r="H328" s="5"/>
    </row>
    <row r="329" spans="8:8">
      <c r="H329" s="5"/>
    </row>
    <row r="330" spans="8:8">
      <c r="H330" s="5"/>
    </row>
    <row r="331" spans="8:8">
      <c r="H331" s="5"/>
    </row>
    <row r="332" spans="8:8">
      <c r="H332" s="5"/>
    </row>
    <row r="333" spans="8:8">
      <c r="H333" s="5"/>
    </row>
    <row r="334" spans="8:8">
      <c r="H334" s="5"/>
    </row>
    <row r="335" spans="8:8">
      <c r="H335" s="5"/>
    </row>
    <row r="336" spans="8:8">
      <c r="H336" s="5"/>
    </row>
    <row r="337" spans="8:8">
      <c r="H337" s="5"/>
    </row>
    <row r="338" spans="8:8">
      <c r="H338" s="5"/>
    </row>
    <row r="339" spans="8:8">
      <c r="H339" s="5"/>
    </row>
    <row r="340" spans="8:8">
      <c r="H340" s="5"/>
    </row>
    <row r="341" spans="8:8">
      <c r="H341" s="5"/>
    </row>
    <row r="342" spans="8:8">
      <c r="H342" s="5"/>
    </row>
    <row r="343" spans="8:8">
      <c r="H343" s="5"/>
    </row>
    <row r="344" spans="8:8">
      <c r="H344" s="5"/>
    </row>
    <row r="345" spans="8:8">
      <c r="H345" s="5"/>
    </row>
    <row r="346" spans="8:8">
      <c r="H346" s="5"/>
    </row>
    <row r="347" spans="8:8">
      <c r="H347" s="5"/>
    </row>
    <row r="348" spans="8:8">
      <c r="H348" s="5"/>
    </row>
    <row r="349" spans="8:8">
      <c r="H349" s="5"/>
    </row>
    <row r="350" spans="8:8">
      <c r="H350" s="5"/>
    </row>
    <row r="351" spans="8:8">
      <c r="H351" s="5"/>
    </row>
    <row r="352" spans="8:8">
      <c r="H352" s="5"/>
    </row>
    <row r="353" spans="8:8">
      <c r="H353" s="5"/>
    </row>
    <row r="354" spans="8:8">
      <c r="H354" s="5"/>
    </row>
    <row r="355" spans="8:8">
      <c r="H355" s="5"/>
    </row>
    <row r="356" spans="8:8">
      <c r="H356" s="5"/>
    </row>
    <row r="357" spans="8:8">
      <c r="H357" s="5"/>
    </row>
    <row r="358" spans="8:8">
      <c r="H358" s="5"/>
    </row>
    <row r="359" spans="8:8">
      <c r="H359" s="5"/>
    </row>
    <row r="360" spans="8:8">
      <c r="H360" s="5"/>
    </row>
    <row r="361" spans="8:8">
      <c r="H361" s="5"/>
    </row>
    <row r="362" spans="8:8">
      <c r="H362" s="5"/>
    </row>
    <row r="363" spans="8:8">
      <c r="H363" s="5"/>
    </row>
    <row r="364" spans="8:8">
      <c r="H364" s="5"/>
    </row>
    <row r="365" spans="8:8">
      <c r="H365" s="5"/>
    </row>
    <row r="366" spans="8:8">
      <c r="H366" s="5"/>
    </row>
    <row r="367" spans="8:8">
      <c r="H367" s="5"/>
    </row>
    <row r="368" spans="8:8">
      <c r="H368" s="5"/>
    </row>
    <row r="369" spans="8:8">
      <c r="H369" s="5"/>
    </row>
    <row r="370" spans="8:8">
      <c r="H370" s="5"/>
    </row>
    <row r="371" spans="8:8">
      <c r="H371" s="5"/>
    </row>
    <row r="372" spans="8:8">
      <c r="H372" s="5"/>
    </row>
    <row r="373" spans="8:8">
      <c r="H373" s="5"/>
    </row>
    <row r="374" spans="8:8">
      <c r="H374" s="5"/>
    </row>
    <row r="375" spans="8:8">
      <c r="H375" s="5"/>
    </row>
    <row r="376" spans="8:8">
      <c r="H376" s="5"/>
    </row>
    <row r="377" spans="8:8">
      <c r="H377" s="5"/>
    </row>
    <row r="378" spans="8:8">
      <c r="H378" s="5"/>
    </row>
    <row r="379" spans="8:8">
      <c r="H379" s="5"/>
    </row>
    <row r="380" spans="8:8">
      <c r="H380" s="5"/>
    </row>
    <row r="381" spans="8:8">
      <c r="H381" s="5"/>
    </row>
    <row r="382" spans="8:8">
      <c r="H382" s="5"/>
    </row>
    <row r="383" spans="8:8">
      <c r="H383" s="5"/>
    </row>
    <row r="384" spans="8:8">
      <c r="H384" s="5"/>
    </row>
    <row r="385" spans="8:8">
      <c r="H385" s="5"/>
    </row>
    <row r="386" spans="8:8">
      <c r="H386" s="5"/>
    </row>
    <row r="387" spans="8:8">
      <c r="H387" s="5"/>
    </row>
    <row r="388" spans="8:8">
      <c r="H388" s="5"/>
    </row>
    <row r="389" spans="8:8">
      <c r="H389" s="5"/>
    </row>
    <row r="390" spans="8:8">
      <c r="H390" s="5"/>
    </row>
    <row r="391" spans="8:8">
      <c r="H391" s="5"/>
    </row>
    <row r="392" spans="8:8">
      <c r="H392" s="5"/>
    </row>
    <row r="393" spans="8:8">
      <c r="H393" s="5"/>
    </row>
    <row r="394" spans="8:8">
      <c r="H394" s="5"/>
    </row>
    <row r="395" spans="8:8">
      <c r="H395" s="5"/>
    </row>
    <row r="396" spans="8:8">
      <c r="H396" s="5"/>
    </row>
    <row r="397" spans="8:8">
      <c r="H397" s="5"/>
    </row>
    <row r="398" spans="8:8">
      <c r="H398" s="5"/>
    </row>
    <row r="399" spans="8:8">
      <c r="H399" s="5"/>
    </row>
    <row r="400" spans="8:8">
      <c r="H400" s="5"/>
    </row>
    <row r="401" spans="8:8">
      <c r="H401" s="5"/>
    </row>
    <row r="402" spans="8:8">
      <c r="H402" s="5"/>
    </row>
    <row r="403" spans="8:8">
      <c r="H403" s="5"/>
    </row>
    <row r="404" spans="8:8">
      <c r="H404" s="5"/>
    </row>
    <row r="405" spans="8:8">
      <c r="H405" s="5"/>
    </row>
    <row r="406" spans="8:8">
      <c r="H406" s="5"/>
    </row>
    <row r="407" spans="8:8">
      <c r="H407" s="5"/>
    </row>
    <row r="408" spans="8:8">
      <c r="H408" s="5"/>
    </row>
    <row r="409" spans="8:8">
      <c r="H409" s="5"/>
    </row>
    <row r="410" spans="8:8">
      <c r="H410" s="5"/>
    </row>
    <row r="411" spans="8:8">
      <c r="H411" s="5"/>
    </row>
    <row r="412" spans="8:8">
      <c r="H412" s="5"/>
    </row>
    <row r="413" spans="8:8">
      <c r="H413" s="5"/>
    </row>
    <row r="414" spans="8:8">
      <c r="H414" s="5"/>
    </row>
    <row r="415" spans="8:8">
      <c r="H415" s="5"/>
    </row>
    <row r="416" spans="8:8">
      <c r="H416" s="5"/>
    </row>
    <row r="417" spans="8:8">
      <c r="H417" s="5"/>
    </row>
    <row r="418" spans="8:8">
      <c r="H418" s="5"/>
    </row>
    <row r="419" spans="8:8">
      <c r="H419" s="5"/>
    </row>
    <row r="420" spans="8:8">
      <c r="H420" s="5"/>
    </row>
    <row r="421" spans="8:8">
      <c r="H421" s="5"/>
    </row>
    <row r="422" spans="8:8">
      <c r="H422" s="5"/>
    </row>
    <row r="423" spans="8:8">
      <c r="H423" s="5"/>
    </row>
    <row r="424" spans="8:8">
      <c r="H424" s="5"/>
    </row>
    <row r="425" spans="8:8">
      <c r="H425" s="5"/>
    </row>
    <row r="426" spans="8:8">
      <c r="H426" s="5"/>
    </row>
    <row r="427" spans="8:8">
      <c r="H427" s="5"/>
    </row>
    <row r="428" spans="8:8">
      <c r="H428" s="5"/>
    </row>
    <row r="429" spans="8:8">
      <c r="H429" s="5"/>
    </row>
    <row r="430" spans="8:8">
      <c r="H430" s="5"/>
    </row>
    <row r="431" spans="8:8">
      <c r="H431" s="5"/>
    </row>
    <row r="432" spans="8:8">
      <c r="H432" s="5"/>
    </row>
    <row r="433" spans="8:8">
      <c r="H433" s="5"/>
    </row>
    <row r="434" spans="8:8">
      <c r="H434" s="5"/>
    </row>
    <row r="435" spans="8:8">
      <c r="H435" s="5"/>
    </row>
    <row r="436" spans="8:8">
      <c r="H436" s="5"/>
    </row>
    <row r="437" spans="8:8">
      <c r="H437" s="5"/>
    </row>
    <row r="438" spans="8:8">
      <c r="H438" s="5"/>
    </row>
    <row r="439" spans="8:8">
      <c r="H439" s="5"/>
    </row>
    <row r="440" spans="8:8">
      <c r="H440" s="5"/>
    </row>
    <row r="441" spans="8:8">
      <c r="H441" s="5"/>
    </row>
    <row r="442" spans="8:8">
      <c r="H442" s="5"/>
    </row>
    <row r="443" spans="8:8">
      <c r="H443" s="5"/>
    </row>
    <row r="444" spans="8:8">
      <c r="H444" s="5"/>
    </row>
    <row r="445" spans="8:8">
      <c r="H445" s="5"/>
    </row>
    <row r="446" spans="8:8">
      <c r="H446" s="5"/>
    </row>
    <row r="447" spans="8:8">
      <c r="H447" s="5"/>
    </row>
    <row r="448" spans="8:8">
      <c r="H448" s="5"/>
    </row>
    <row r="449" spans="8:8">
      <c r="H449" s="5"/>
    </row>
    <row r="450" spans="8:8">
      <c r="H450" s="5"/>
    </row>
    <row r="451" spans="8:8">
      <c r="H451" s="5"/>
    </row>
    <row r="452" spans="8:8">
      <c r="H452" s="5"/>
    </row>
    <row r="453" spans="8:8">
      <c r="H453" s="5"/>
    </row>
    <row r="454" spans="8:8">
      <c r="H454" s="5"/>
    </row>
    <row r="455" spans="8:8">
      <c r="H455" s="5"/>
    </row>
    <row r="456" spans="8:8">
      <c r="H456" s="5"/>
    </row>
    <row r="457" spans="8:8">
      <c r="H457" s="5"/>
    </row>
    <row r="458" spans="8:8">
      <c r="H458" s="5"/>
    </row>
    <row r="459" spans="8:8">
      <c r="H459" s="5"/>
    </row>
    <row r="460" spans="8:8">
      <c r="H460" s="5"/>
    </row>
    <row r="461" spans="8:8">
      <c r="H461" s="5"/>
    </row>
    <row r="462" spans="8:8">
      <c r="H462" s="5"/>
    </row>
    <row r="463" spans="8:8">
      <c r="H463" s="5"/>
    </row>
    <row r="464" spans="8:8">
      <c r="H464" s="5"/>
    </row>
    <row r="465" spans="8:8">
      <c r="H465" s="5"/>
    </row>
    <row r="466" spans="8:8">
      <c r="H466" s="5"/>
    </row>
    <row r="467" spans="8:8">
      <c r="H467" s="5"/>
    </row>
    <row r="468" spans="8:8">
      <c r="H468" s="5"/>
    </row>
    <row r="469" spans="8:8">
      <c r="H469" s="5"/>
    </row>
    <row r="470" spans="8:8">
      <c r="H470" s="5"/>
    </row>
    <row r="471" spans="8:8">
      <c r="H471" s="5"/>
    </row>
    <row r="472" spans="8:8">
      <c r="H472" s="5"/>
    </row>
    <row r="473" spans="8:8">
      <c r="H473" s="5"/>
    </row>
    <row r="474" spans="8:8">
      <c r="H474" s="5"/>
    </row>
    <row r="475" spans="8:8">
      <c r="H475" s="5"/>
    </row>
    <row r="476" spans="8:8">
      <c r="H476" s="5"/>
    </row>
    <row r="477" spans="8:8">
      <c r="H477" s="5"/>
    </row>
    <row r="478" spans="8:8">
      <c r="H478" s="5"/>
    </row>
    <row r="479" spans="8:8">
      <c r="H479" s="5"/>
    </row>
    <row r="480" spans="8:8">
      <c r="H480" s="5"/>
    </row>
    <row r="481" spans="8:8">
      <c r="H481" s="5"/>
    </row>
    <row r="482" spans="8:8">
      <c r="H482" s="5"/>
    </row>
    <row r="483" spans="8:8">
      <c r="H483" s="5"/>
    </row>
    <row r="484" spans="8:8">
      <c r="H484" s="5"/>
    </row>
    <row r="485" spans="8:8">
      <c r="H485" s="5"/>
    </row>
    <row r="486" spans="8:8">
      <c r="H486" s="5"/>
    </row>
    <row r="487" spans="8:8">
      <c r="H487" s="5"/>
    </row>
    <row r="488" spans="8:8">
      <c r="H488" s="5"/>
    </row>
    <row r="489" spans="8:8">
      <c r="H489" s="5"/>
    </row>
    <row r="490" spans="8:8">
      <c r="H490" s="5"/>
    </row>
  </sheetData>
  <mergeCells count="1">
    <mergeCell ref="A1:I1"/>
  </mergeCells>
  <conditionalFormatting sqref="E4:E490">
    <cfRule type="expression" dxfId="5" priority="1">
      <formula>OR($E4="Blocked",$E4="Needs Action")</formula>
    </cfRule>
    <cfRule type="expression" dxfId="4" priority="2">
      <formula>OR($E4="Waiting on Others",$E4="Pending",$E4="Under Review")</formula>
    </cfRule>
    <cfRule type="expression" dxfId="3" priority="3">
      <formula>OR($E4="In Progress",$E4="Starts 20 May")</formula>
    </cfRule>
    <cfRule type="expression" dxfId="2" priority="4">
      <formula>OR($E4="Complete",$E4="Ready",$E4="Complete / Under Review")</formula>
    </cfRule>
  </conditionalFormatting>
  <conditionalFormatting sqref="F4:F490">
    <cfRule type="expression" dxfId="1" priority="5">
      <formula>$F4="No"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C00-000000000000}">
          <x14:formula1>
            <xm:f>Lists!$A$4:$A$18</xm:f>
          </x14:formula1>
          <xm:sqref>E4:E490</xm:sqref>
        </x14:dataValidation>
        <x14:dataValidation type="list" xr:uid="{00000000-0002-0000-0C00-000001000000}">
          <x14:formula1>
            <xm:f>Lists!$E$4:$E$5</xm:f>
          </x14:formula1>
          <xm:sqref>F4:F490</xm:sqref>
        </x14:dataValidation>
        <x14:dataValidation type="list" xr:uid="{00000000-0002-0000-0C00-000002000000}">
          <x14:formula1>
            <xm:f>Lists!$J$4:$J$9</xm:f>
          </x14:formula1>
          <xm:sqref>B4:B490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0"/>
  <sheetViews>
    <sheetView workbookViewId="0">
      <selection activeCell="D32" sqref="D32"/>
    </sheetView>
  </sheetViews>
  <sheetFormatPr defaultRowHeight="14"/>
  <cols>
    <col min="1" max="2" width="28" customWidth="1"/>
    <col min="3" max="3" width="60" customWidth="1"/>
  </cols>
  <sheetData>
    <row r="1" spans="1:6" ht="20">
      <c r="A1" s="7" t="s">
        <v>262</v>
      </c>
      <c r="B1" s="8"/>
      <c r="C1" s="8"/>
      <c r="D1" s="8"/>
      <c r="E1" s="8"/>
      <c r="F1" s="8"/>
    </row>
    <row r="3" spans="1:6">
      <c r="A3" s="1" t="s">
        <v>263</v>
      </c>
      <c r="B3" s="1" t="s">
        <v>264</v>
      </c>
      <c r="C3" s="1" t="s">
        <v>1</v>
      </c>
    </row>
    <row r="4" spans="1:6">
      <c r="A4" s="2" t="s">
        <v>265</v>
      </c>
      <c r="B4" s="2">
        <f>COUNTIF(All_Reviews!U:U,"Yes")</f>
        <v>8</v>
      </c>
      <c r="C4" s="2" t="s">
        <v>266</v>
      </c>
    </row>
    <row r="5" spans="1:6">
      <c r="A5" s="2" t="s">
        <v>267</v>
      </c>
      <c r="B5" s="2">
        <f>COUNTIFS(All_Reviews!D:D,"Phase 1",All_Reviews!U:U,"Yes")</f>
        <v>5</v>
      </c>
      <c r="C5" s="2" t="s">
        <v>268</v>
      </c>
    </row>
    <row r="6" spans="1:6">
      <c r="A6" s="2" t="s">
        <v>269</v>
      </c>
      <c r="B6" s="2">
        <f>COUNTIFS(All_Reviews!F:F,"High",All_Reviews!U:U,"Yes")+COUNTIFS(All_Reviews!E:E,"Needs Action",All_Reviews!U:U,"Yes")+COUNTIFS(All_Reviews!E:E,"Blocked",All_Reviews!U:U,"Yes")+COUNTIFS(All_Reviews!E:E,"Waiting on Others",All_Reviews!U:U,"Yes")</f>
        <v>3</v>
      </c>
      <c r="C6" s="2" t="s">
        <v>270</v>
      </c>
    </row>
    <row r="7" spans="1:6">
      <c r="A7" s="2" t="s">
        <v>271</v>
      </c>
      <c r="B7" s="2">
        <f>COUNTIF(Review_Tasks!L:L,"Yes")</f>
        <v>37</v>
      </c>
      <c r="C7" s="2" t="s">
        <v>272</v>
      </c>
    </row>
    <row r="8" spans="1:6">
      <c r="A8" s="2" t="s">
        <v>273</v>
      </c>
      <c r="B8" s="2">
        <f>COUNTIF(Communication_Log!M:M,"Yes")</f>
        <v>22</v>
      </c>
      <c r="C8" s="2" t="s">
        <v>274</v>
      </c>
    </row>
    <row r="9" spans="1:6">
      <c r="A9" s="2" t="s">
        <v>275</v>
      </c>
      <c r="B9" s="2">
        <f>COUNTIF(Resources!J:J,"Yes")</f>
        <v>5</v>
      </c>
      <c r="C9" s="2" t="s">
        <v>276</v>
      </c>
    </row>
    <row r="10" spans="1:6">
      <c r="A10" s="2" t="s">
        <v>277</v>
      </c>
      <c r="B10" s="2">
        <f>COUNTIF(Upcoming_Meetings!M:M,"Yes")</f>
        <v>6</v>
      </c>
      <c r="C10" s="2" t="s">
        <v>278</v>
      </c>
    </row>
    <row r="11" spans="1:6">
      <c r="A11" s="2" t="s">
        <v>279</v>
      </c>
      <c r="B11" s="2">
        <f>COUNTIF(Workflow_Master!J:J,"Yes")</f>
        <v>63</v>
      </c>
      <c r="C11" s="2" t="s">
        <v>280</v>
      </c>
    </row>
    <row r="12" spans="1:6">
      <c r="A12" s="2"/>
      <c r="B12" s="2"/>
      <c r="C12" s="2"/>
    </row>
    <row r="13" spans="1:6">
      <c r="A13" s="2"/>
      <c r="B13" s="2"/>
      <c r="C13" s="2"/>
    </row>
    <row r="14" spans="1:6">
      <c r="A14" s="2"/>
      <c r="B14" s="2"/>
      <c r="C14" s="2"/>
    </row>
    <row r="15" spans="1:6">
      <c r="A15" s="2"/>
      <c r="B15" s="2"/>
      <c r="C15" s="2"/>
    </row>
    <row r="16" spans="1:6">
      <c r="A16" s="2"/>
      <c r="B16" s="2"/>
      <c r="C16" s="2"/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/>
      <c r="B20" s="2"/>
      <c r="C20" s="2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Dashboard_Config</vt:lpstr>
      <vt:lpstr>All_Reviews</vt:lpstr>
      <vt:lpstr>Lists</vt:lpstr>
      <vt:lpstr>Workflow_Master</vt:lpstr>
      <vt:lpstr>Review_Workflow_Status</vt:lpstr>
      <vt:lpstr>Review_Tasks</vt:lpstr>
      <vt:lpstr>Communication_Log</vt:lpstr>
      <vt:lpstr>File_Readiness</vt:lpstr>
      <vt:lpstr>Critical_Items</vt:lpstr>
      <vt:lpstr>Resources</vt:lpstr>
      <vt:lpstr>Upcoming_Meetings</vt:lpstr>
      <vt:lpstr>Stage_Progress</vt:lpstr>
      <vt:lpstr>Dashboard_Summary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Krishna Kishore Pandalaneni</cp:lastModifiedBy>
  <dcterms:modified xsi:type="dcterms:W3CDTF">2026-05-15T05:05:19Z</dcterms:modified>
</cp:coreProperties>
</file>